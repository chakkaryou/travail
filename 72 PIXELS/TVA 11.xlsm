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4D1C537B-E38A-612A-F078-A93A15B4B7F4}"/>
  <workbookPr filterPrivacy="1" codeName="ThisWorkbook" defaultThemeVersion="124226"/>
  <bookViews>
    <workbookView xWindow="-105" yWindow="-105" windowWidth="20730" windowHeight="11760" activeTab="3"/>
  </bookViews>
  <sheets>
    <sheet name="EDI" sheetId="10" r:id="rId1"/>
    <sheet name="SYNTHESE" sheetId="8" r:id="rId2"/>
    <sheet name="ENC" sheetId="12" r:id="rId3"/>
    <sheet name="DECLARATION" sheetId="13" r:id="rId4"/>
    <sheet name="A DEDUIRE" sheetId="16" r:id="rId5"/>
    <sheet name="BASE IF-ICE" sheetId="14" r:id="rId6"/>
    <sheet name="CA REPORTE" sheetId="15" r:id="rId7"/>
  </sheets>
  <definedNames>
    <definedName name="_xlnm._FilterDatabase" localSheetId="5" hidden="1">'BASE IF-ICE'!$B$2:$E$106</definedName>
    <definedName name="_xlnm._FilterDatabase" localSheetId="3" hidden="1">DECLARATION!$B$3:$P$36</definedName>
    <definedName name="CODE">'BASE IF-ICE'!$G$2:$H$9</definedName>
    <definedName name="FRS">'BASE IF-ICE'!$B$2:$D$118</definedName>
    <definedName name="_xlnm.Print_Area" localSheetId="3">DECLARATION!$A$1:$N$46</definedName>
    <definedName name="_xlnm.Print_Area" localSheetId="0">EDI!$A$1:$M$40</definedName>
  </definedNames>
  <calcPr calcId="145621"/>
</workbook>
</file>

<file path=xl/calcChain.xml><?xml version="1.0" encoding="utf-8"?>
<calcChain xmlns="http://schemas.openxmlformats.org/spreadsheetml/2006/main">
  <c r="L14" i="13" l="1"/>
  <c r="J14" i="13"/>
  <c r="H14" i="13"/>
  <c r="E14" i="13"/>
  <c r="F14" i="13" s="1"/>
  <c r="L15" i="13"/>
  <c r="J15" i="13"/>
  <c r="H15" i="13"/>
  <c r="E15" i="13"/>
  <c r="F15" i="13" s="1"/>
  <c r="E111" i="14" l="1"/>
  <c r="E112" i="14"/>
  <c r="E113" i="14"/>
  <c r="E114" i="14"/>
  <c r="E115" i="14"/>
  <c r="L35" i="13"/>
  <c r="L34" i="13"/>
  <c r="L33" i="13"/>
  <c r="L32" i="13"/>
  <c r="L31" i="13"/>
  <c r="L30" i="13"/>
  <c r="J35" i="13"/>
  <c r="J34" i="13"/>
  <c r="J33" i="13"/>
  <c r="J32" i="13"/>
  <c r="J31" i="13"/>
  <c r="J30" i="13"/>
  <c r="H35" i="13"/>
  <c r="H34" i="13"/>
  <c r="H33" i="13"/>
  <c r="H32" i="13"/>
  <c r="H31" i="13"/>
  <c r="H30" i="13"/>
  <c r="E35" i="13"/>
  <c r="F35" i="13" s="1"/>
  <c r="E34" i="13"/>
  <c r="F34" i="13" s="1"/>
  <c r="E33" i="13"/>
  <c r="F33" i="13" s="1"/>
  <c r="E32" i="13"/>
  <c r="F32" i="13" s="1"/>
  <c r="E31" i="13"/>
  <c r="F31" i="13" s="1"/>
  <c r="E30" i="13"/>
  <c r="F30" i="13" s="1"/>
  <c r="G36" i="13"/>
  <c r="E110" i="14"/>
  <c r="E109" i="14"/>
  <c r="E108" i="14"/>
  <c r="E107" i="14"/>
  <c r="E29" i="13" l="1"/>
  <c r="F29" i="13" s="1"/>
  <c r="E28" i="13"/>
  <c r="F28" i="13" s="1"/>
  <c r="E27" i="13"/>
  <c r="F27" i="13" s="1"/>
  <c r="E26" i="13"/>
  <c r="F26" i="13" s="1"/>
  <c r="E25" i="13"/>
  <c r="F25" i="13" s="1"/>
  <c r="E24" i="13"/>
  <c r="F24" i="13" s="1"/>
  <c r="E23" i="13"/>
  <c r="F23" i="13" s="1"/>
  <c r="L29" i="13"/>
  <c r="J29" i="13"/>
  <c r="H29" i="13"/>
  <c r="L28" i="13"/>
  <c r="J28" i="13"/>
  <c r="H28" i="13"/>
  <c r="L27" i="13"/>
  <c r="J27" i="13"/>
  <c r="H27" i="13"/>
  <c r="L26" i="13"/>
  <c r="J26" i="13"/>
  <c r="H26" i="13"/>
  <c r="L25" i="13"/>
  <c r="J25" i="13"/>
  <c r="H25" i="13"/>
  <c r="L24" i="13"/>
  <c r="J24" i="13"/>
  <c r="H24" i="13"/>
  <c r="L23" i="13"/>
  <c r="J23" i="13"/>
  <c r="H23" i="13"/>
  <c r="L21" i="13"/>
  <c r="J21" i="13"/>
  <c r="H21" i="13"/>
  <c r="E21" i="13"/>
  <c r="F21" i="13" s="1"/>
  <c r="L20" i="13"/>
  <c r="J20" i="13"/>
  <c r="H20" i="13"/>
  <c r="E20" i="13"/>
  <c r="F20" i="13" s="1"/>
  <c r="L19" i="13"/>
  <c r="J19" i="13"/>
  <c r="H19" i="13"/>
  <c r="E19" i="13"/>
  <c r="F19" i="13" s="1"/>
  <c r="L18" i="13"/>
  <c r="J18" i="13"/>
  <c r="H18" i="13"/>
  <c r="E18" i="13"/>
  <c r="F18" i="13" s="1"/>
  <c r="L17" i="13"/>
  <c r="J17" i="13"/>
  <c r="H17" i="13"/>
  <c r="E17" i="13"/>
  <c r="F17" i="13" s="1"/>
  <c r="L16" i="13"/>
  <c r="J16" i="13"/>
  <c r="H16" i="13"/>
  <c r="E16" i="13"/>
  <c r="F16" i="13" s="1"/>
  <c r="L13" i="13"/>
  <c r="J13" i="13"/>
  <c r="H13" i="13"/>
  <c r="E13" i="13"/>
  <c r="F13" i="13" s="1"/>
  <c r="L12" i="13"/>
  <c r="J12" i="13"/>
  <c r="H12" i="13"/>
  <c r="E12" i="13"/>
  <c r="F12" i="13" s="1"/>
  <c r="L11" i="13"/>
  <c r="J11" i="13"/>
  <c r="H11" i="13"/>
  <c r="E11" i="13"/>
  <c r="F11" i="13" s="1"/>
  <c r="L10" i="13"/>
  <c r="J10" i="13"/>
  <c r="H10" i="13"/>
  <c r="E10" i="13"/>
  <c r="F10" i="13" s="1"/>
  <c r="L9" i="13"/>
  <c r="J9" i="13"/>
  <c r="H9" i="13"/>
  <c r="E9" i="13"/>
  <c r="F9" i="13" s="1"/>
  <c r="E42" i="13" l="1"/>
  <c r="L22" i="13"/>
  <c r="J22" i="13"/>
  <c r="H22" i="13"/>
  <c r="E22" i="13"/>
  <c r="F22" i="13" s="1"/>
  <c r="L8" i="13"/>
  <c r="J8" i="13"/>
  <c r="H8" i="13"/>
  <c r="E8" i="13"/>
  <c r="F8" i="13" s="1"/>
  <c r="L7" i="13"/>
  <c r="J7" i="13"/>
  <c r="H7" i="13"/>
  <c r="E7" i="13"/>
  <c r="F7" i="13" s="1"/>
  <c r="L6" i="13"/>
  <c r="J6" i="13"/>
  <c r="H6" i="13"/>
  <c r="E6" i="13"/>
  <c r="F6" i="13" s="1"/>
  <c r="L5" i="13" l="1"/>
  <c r="J5" i="13"/>
  <c r="H5" i="13"/>
  <c r="E5" i="13"/>
  <c r="F5" i="13" s="1"/>
  <c r="E106" i="14" l="1"/>
  <c r="F19" i="12" l="1"/>
  <c r="G19" i="12" s="1"/>
  <c r="E4" i="13"/>
  <c r="E36" i="13" s="1"/>
  <c r="E105" i="14"/>
  <c r="F18" i="12"/>
  <c r="G18" i="12"/>
  <c r="F17" i="12"/>
  <c r="G17" i="12" s="1"/>
  <c r="F16" i="12"/>
  <c r="G16" i="12" s="1"/>
  <c r="E104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3" i="14"/>
  <c r="J12" i="12"/>
  <c r="K12" i="12"/>
  <c r="J13" i="12"/>
  <c r="K13" i="12"/>
  <c r="J11" i="12"/>
  <c r="K11" i="12" s="1"/>
  <c r="J10" i="12"/>
  <c r="K10" i="12" s="1"/>
  <c r="C7" i="16"/>
  <c r="D7" i="16"/>
  <c r="F7" i="16"/>
  <c r="H7" i="16"/>
  <c r="J7" i="16"/>
  <c r="J9" i="12"/>
  <c r="K9" i="12" s="1"/>
  <c r="J5" i="12"/>
  <c r="K5" i="12" s="1"/>
  <c r="J6" i="12"/>
  <c r="K6" i="12"/>
  <c r="J7" i="12"/>
  <c r="K7" i="12" s="1"/>
  <c r="J8" i="12"/>
  <c r="K8" i="12" s="1"/>
  <c r="J6" i="16"/>
  <c r="H6" i="16"/>
  <c r="F6" i="16"/>
  <c r="C6" i="16"/>
  <c r="D6" i="16" s="1"/>
  <c r="J5" i="16"/>
  <c r="H5" i="16"/>
  <c r="F5" i="16"/>
  <c r="C5" i="16"/>
  <c r="D5" i="16"/>
  <c r="J4" i="16"/>
  <c r="H4" i="16"/>
  <c r="F4" i="16"/>
  <c r="C4" i="16"/>
  <c r="D4" i="16" s="1"/>
  <c r="F8" i="12"/>
  <c r="G8" i="12" s="1"/>
  <c r="J3" i="16"/>
  <c r="H3" i="16"/>
  <c r="F3" i="16"/>
  <c r="C3" i="16"/>
  <c r="D3" i="16"/>
  <c r="F12" i="12"/>
  <c r="G12" i="12" s="1"/>
  <c r="F11" i="12"/>
  <c r="G11" i="12" s="1"/>
  <c r="J4" i="13"/>
  <c r="H4" i="13"/>
  <c r="F5" i="12"/>
  <c r="G5" i="12" s="1"/>
  <c r="F6" i="12"/>
  <c r="G6" i="12" s="1"/>
  <c r="F7" i="12"/>
  <c r="G7" i="12" s="1"/>
  <c r="F9" i="12"/>
  <c r="G9" i="12" s="1"/>
  <c r="F10" i="12"/>
  <c r="G10" i="12" s="1"/>
  <c r="F13" i="12"/>
  <c r="G13" i="12"/>
  <c r="F14" i="12"/>
  <c r="G14" i="12" s="1"/>
  <c r="L4" i="13"/>
  <c r="E23" i="12"/>
  <c r="F15" i="12"/>
  <c r="G15" i="12" s="1"/>
  <c r="F22" i="12"/>
  <c r="G22" i="12"/>
  <c r="M40" i="10"/>
  <c r="B41" i="10" s="1"/>
  <c r="F40" i="10"/>
  <c r="E40" i="10"/>
  <c r="D40" i="10"/>
  <c r="F4" i="13" l="1"/>
  <c r="E40" i="13" s="1"/>
  <c r="K15" i="12"/>
  <c r="F23" i="12"/>
  <c r="G23" i="12"/>
  <c r="F26" i="12"/>
  <c r="F27" i="12" s="1"/>
  <c r="D6" i="8" l="1"/>
  <c r="F36" i="13"/>
  <c r="D8" i="8"/>
  <c r="E38" i="13"/>
  <c r="G27" i="12"/>
  <c r="D5" i="8"/>
  <c r="F39" i="13" l="1"/>
  <c r="E41" i="13"/>
  <c r="D7" i="8" s="1"/>
  <c r="D12" i="8" s="1"/>
  <c r="D13" i="8" s="1"/>
  <c r="E44" i="13" l="1"/>
  <c r="D15" i="8"/>
  <c r="D14" i="8"/>
  <c r="E45" i="13" l="1"/>
  <c r="J33" i="12" s="1"/>
  <c r="E46" i="13"/>
  <c r="H26" i="12" s="1"/>
</calcChain>
</file>

<file path=xl/sharedStrings.xml><?xml version="1.0" encoding="utf-8"?>
<sst xmlns="http://schemas.openxmlformats.org/spreadsheetml/2006/main" count="499" uniqueCount="358">
  <si>
    <t>ID_FISCAL</t>
  </si>
  <si>
    <t>ANNEE</t>
  </si>
  <si>
    <t>M_HT</t>
  </si>
  <si>
    <t>TVA</t>
  </si>
  <si>
    <t>TAUX</t>
  </si>
  <si>
    <t>DATE_PAIE</t>
  </si>
  <si>
    <t>DATE_FAC</t>
  </si>
  <si>
    <t>IF</t>
  </si>
  <si>
    <t>RAISON SOCIAL</t>
  </si>
  <si>
    <t>Total</t>
  </si>
  <si>
    <t>Modèle n° ADC082F-15I</t>
  </si>
  <si>
    <t>Relevé de déduction</t>
  </si>
  <si>
    <t>(Article 112 du Code Général des Impôts)</t>
  </si>
  <si>
    <t>PERIODE(Mois)</t>
  </si>
  <si>
    <t>REGIME(Encais-1)</t>
  </si>
  <si>
    <t>DESIGNATION</t>
  </si>
  <si>
    <t>OR</t>
  </si>
  <si>
    <t>FACT_NUM</t>
  </si>
  <si>
    <t>M_TTC</t>
  </si>
  <si>
    <t>LIB_FRSS</t>
  </si>
  <si>
    <t>ID_PAIE</t>
  </si>
  <si>
    <t>ICE_FRS</t>
  </si>
  <si>
    <t>TVA FACTUREE</t>
  </si>
  <si>
    <t>TVA 14%</t>
  </si>
  <si>
    <t>TOTAL TVA DEDUCTIBLE</t>
  </si>
  <si>
    <t>TVA SERVICE 20%</t>
  </si>
  <si>
    <t>TVA IMMOBILISATION</t>
  </si>
  <si>
    <t>CLIENT</t>
  </si>
  <si>
    <t>DATE ENC</t>
  </si>
  <si>
    <t>MONTANT TTC</t>
  </si>
  <si>
    <t>MONTANT HT</t>
  </si>
  <si>
    <t>MONTANT TVA</t>
  </si>
  <si>
    <t>TOTAL HT</t>
  </si>
  <si>
    <t>TOTAL TVA</t>
  </si>
  <si>
    <t xml:space="preserve">TVA BANQUE 10% </t>
  </si>
  <si>
    <t>TVA ACHAT 20%</t>
  </si>
  <si>
    <t>ROUGE PRECEDENT</t>
  </si>
  <si>
    <t>CONTRÔLE EDI</t>
  </si>
  <si>
    <t>ROUGE</t>
  </si>
  <si>
    <t>PAIEMENT</t>
  </si>
  <si>
    <t>LACENTRALE IT</t>
  </si>
  <si>
    <t>TOTAL</t>
  </si>
  <si>
    <t>LUMANAR</t>
  </si>
  <si>
    <t>FRS</t>
  </si>
  <si>
    <t>ICE</t>
  </si>
  <si>
    <t>001513086000071</t>
  </si>
  <si>
    <t>CREDIT DU MAROC</t>
  </si>
  <si>
    <t>000102564000025</t>
  </si>
  <si>
    <t>Chèque</t>
  </si>
  <si>
    <t>Prélèvement</t>
  </si>
  <si>
    <t>Autres</t>
  </si>
  <si>
    <t>Espèces</t>
  </si>
  <si>
    <t>Compensation</t>
  </si>
  <si>
    <t>Effets</t>
  </si>
  <si>
    <t>Virement</t>
  </si>
  <si>
    <t>CODE</t>
  </si>
  <si>
    <t>MODE REGL</t>
  </si>
  <si>
    <t>a- Régime d’encaissement N° 1 pour la déclaration mensuel</t>
  </si>
  <si>
    <t>b- Régime d’encaissement N° 2 pour la déclaration Trimestriel</t>
  </si>
  <si>
    <t>mode de paiement : 1:Espèces - 2:Chèque - 3:Prélèvement  
- 4:Virement - 5:Effets  - 6:Compensation  - 7:Autres</t>
  </si>
  <si>
    <t>TVA FACTREE</t>
  </si>
  <si>
    <t>TVA DUE</t>
  </si>
  <si>
    <t>FICOP</t>
  </si>
  <si>
    <t>ISO DECO</t>
  </si>
  <si>
    <t>CUT PACK</t>
  </si>
  <si>
    <t>RIHAB PRESS</t>
  </si>
  <si>
    <t>BESTMARK</t>
  </si>
  <si>
    <t>MODE</t>
  </si>
  <si>
    <t>MAROC TELECOM</t>
  </si>
  <si>
    <t>000211518000083</t>
  </si>
  <si>
    <t>001571244000041</t>
  </si>
  <si>
    <t>000199198000013</t>
  </si>
  <si>
    <t>02500833</t>
  </si>
  <si>
    <t>001535373000013</t>
  </si>
  <si>
    <t>000098243000001</t>
  </si>
  <si>
    <t>001526705000085</t>
  </si>
  <si>
    <t>001522585000066</t>
  </si>
  <si>
    <t>MAROC BALLONS</t>
  </si>
  <si>
    <t>000083872000018</t>
  </si>
  <si>
    <t>MPI</t>
  </si>
  <si>
    <t>000081026000036</t>
  </si>
  <si>
    <t>CODE COLORS</t>
  </si>
  <si>
    <t>ALTA FOURNITURE</t>
  </si>
  <si>
    <t>HOST DEBIT MEDIA</t>
  </si>
  <si>
    <t>L'ART DU PINCEAU</t>
  </si>
  <si>
    <t>METHODIKA</t>
  </si>
  <si>
    <t>PROMA TRANS</t>
  </si>
  <si>
    <t>PAPETERIE OUBAHIM</t>
  </si>
  <si>
    <t>RAYANA</t>
  </si>
  <si>
    <t>EVARIYA SERVICE</t>
  </si>
  <si>
    <t>PUBLI IMPORT</t>
  </si>
  <si>
    <t>BERSALI</t>
  </si>
  <si>
    <t>PATCHI</t>
  </si>
  <si>
    <t>01007026</t>
  </si>
  <si>
    <t>001525903000011</t>
  </si>
  <si>
    <t>FOBUNAS</t>
  </si>
  <si>
    <t>000197854000023</t>
  </si>
  <si>
    <t>ISAMAP</t>
  </si>
  <si>
    <t>001660584000057</t>
  </si>
  <si>
    <t>000024862000063</t>
  </si>
  <si>
    <t>000204117000090</t>
  </si>
  <si>
    <t>04550671</t>
  </si>
  <si>
    <t>000050291000046</t>
  </si>
  <si>
    <t>000092587000035</t>
  </si>
  <si>
    <t>000083226000097</t>
  </si>
  <si>
    <t>001426943000066</t>
  </si>
  <si>
    <t>000207671000065</t>
  </si>
  <si>
    <t>001532897000032</t>
  </si>
  <si>
    <t>000163136000001</t>
  </si>
  <si>
    <t>000037853000058</t>
  </si>
  <si>
    <t>000000000000000</t>
  </si>
  <si>
    <t>72 PIXELS AGENCY</t>
  </si>
  <si>
    <t>MOD PAIE</t>
  </si>
  <si>
    <t>SAVON D'ALEP</t>
  </si>
  <si>
    <t>000160006000024</t>
  </si>
  <si>
    <t>PUBLI'6</t>
  </si>
  <si>
    <t>001529928000073</t>
  </si>
  <si>
    <t>ESPACE BADR</t>
  </si>
  <si>
    <t>01004120</t>
  </si>
  <si>
    <t>000026652000039</t>
  </si>
  <si>
    <t>CHRONO DIGITAL</t>
  </si>
  <si>
    <t>001526770000076</t>
  </si>
  <si>
    <t>TVA DED 10%</t>
  </si>
  <si>
    <t>TVA ROUGE</t>
  </si>
  <si>
    <t>ROUGE PREC</t>
  </si>
  <si>
    <t>TOTAL TVA DED</t>
  </si>
  <si>
    <t>Salam gravure</t>
  </si>
  <si>
    <t>KITEA</t>
  </si>
  <si>
    <t>01084334</t>
  </si>
  <si>
    <t>001544256000053</t>
  </si>
  <si>
    <t>000188754000022</t>
  </si>
  <si>
    <t>WINTEK</t>
  </si>
  <si>
    <t>03332202</t>
  </si>
  <si>
    <t>000078542000077</t>
  </si>
  <si>
    <t>TVA DED 20%-Sce</t>
  </si>
  <si>
    <t>CHEQ N°</t>
  </si>
  <si>
    <t>Disney Gifts</t>
  </si>
  <si>
    <t>TANGEROIS</t>
  </si>
  <si>
    <t>01000744</t>
  </si>
  <si>
    <t>000084122000058</t>
  </si>
  <si>
    <t>E BOOKING</t>
  </si>
  <si>
    <t>001798215000090</t>
  </si>
  <si>
    <t>DECATHLON</t>
  </si>
  <si>
    <t>000079980000051</t>
  </si>
  <si>
    <t>ULMANN PRO</t>
  </si>
  <si>
    <t>01051848</t>
  </si>
  <si>
    <t>000027424000050</t>
  </si>
  <si>
    <t>ALUMETAUX</t>
  </si>
  <si>
    <t>01001802</t>
  </si>
  <si>
    <t>000084244000062</t>
  </si>
  <si>
    <t>BEN EVENTS</t>
  </si>
  <si>
    <t>000003637000062</t>
  </si>
  <si>
    <t>SORILEJ</t>
  </si>
  <si>
    <t>GRAVURE SALAM</t>
  </si>
  <si>
    <t>LINA SOLUTION</t>
  </si>
  <si>
    <t>YANO NEGOCE</t>
  </si>
  <si>
    <t>BELJI PRINT</t>
  </si>
  <si>
    <t>000204034000003</t>
  </si>
  <si>
    <t>001557994000055</t>
  </si>
  <si>
    <t>001758135000021</t>
  </si>
  <si>
    <t>PAPILLON TRADUCTION</t>
  </si>
  <si>
    <t>001695781000047</t>
  </si>
  <si>
    <t>000101902000051</t>
  </si>
  <si>
    <t>SODEXO</t>
  </si>
  <si>
    <t>KWINSE FOURNITURE</t>
  </si>
  <si>
    <t>001513864000017</t>
  </si>
  <si>
    <t>001595698000089</t>
  </si>
  <si>
    <t>NIDARY</t>
  </si>
  <si>
    <t>000037280000009</t>
  </si>
  <si>
    <t>TVA DED 20%-CHARGES</t>
  </si>
  <si>
    <t>PLANET DESIGN</t>
  </si>
  <si>
    <t>001527903000040</t>
  </si>
  <si>
    <t>GB MARK</t>
  </si>
  <si>
    <t>001531694000018</t>
  </si>
  <si>
    <t>SPEEDY PRINT</t>
  </si>
  <si>
    <t>EXPO ONE</t>
  </si>
  <si>
    <t>SCOM 4 YOU</t>
  </si>
  <si>
    <t>1006587</t>
  </si>
  <si>
    <t>AMBIANCE ET SAVEURS</t>
  </si>
  <si>
    <t>000107009000096</t>
  </si>
  <si>
    <t>000056190000047</t>
  </si>
  <si>
    <t>000214429000056</t>
  </si>
  <si>
    <t>001522094000034</t>
  </si>
  <si>
    <t>PAPETERIE AL MANAR</t>
  </si>
  <si>
    <t>VILLA THERASSE</t>
  </si>
  <si>
    <t>001624406000073</t>
  </si>
  <si>
    <t>001525986000001</t>
  </si>
  <si>
    <t>000204468000022</t>
  </si>
  <si>
    <t>IOMDI</t>
  </si>
  <si>
    <t>PAPETERIE AL MANAL</t>
  </si>
  <si>
    <t>IMPRIMERIE SABRI</t>
  </si>
  <si>
    <t>HORIZON PROD</t>
  </si>
  <si>
    <t>REGIE WORLD</t>
  </si>
  <si>
    <t>001884145000026</t>
  </si>
  <si>
    <t>SUBLI WEAR</t>
  </si>
  <si>
    <t>000093564000040</t>
  </si>
  <si>
    <t>001810561000040</t>
  </si>
  <si>
    <t>000145661000018</t>
  </si>
  <si>
    <t>DANCA</t>
  </si>
  <si>
    <t>001605181000004</t>
  </si>
  <si>
    <t>DECO BALLON</t>
  </si>
  <si>
    <t>000209085000008</t>
  </si>
  <si>
    <t>ROUGIDIS</t>
  </si>
  <si>
    <t>001968155000004</t>
  </si>
  <si>
    <t>MSC SERVICE</t>
  </si>
  <si>
    <t>002102399000015</t>
  </si>
  <si>
    <t>DESIGN CONFORT</t>
  </si>
  <si>
    <t>FOOD AND GOODS</t>
  </si>
  <si>
    <t>OYA GAMES</t>
  </si>
  <si>
    <t>001524316000083</t>
  </si>
  <si>
    <t>01031008</t>
  </si>
  <si>
    <t>001522017000076</t>
  </si>
  <si>
    <t>000307792000091</t>
  </si>
  <si>
    <t>MR BRICOLAGE</t>
  </si>
  <si>
    <t>BOIS &amp; CO</t>
  </si>
  <si>
    <t>ABCHIR</t>
  </si>
  <si>
    <t>DARKYN</t>
  </si>
  <si>
    <t>FOOD &amp; GOODS</t>
  </si>
  <si>
    <t>000084440000008</t>
  </si>
  <si>
    <t>000080569000056</t>
  </si>
  <si>
    <t>VPM</t>
  </si>
  <si>
    <t>000092697000072</t>
  </si>
  <si>
    <t>001524327000077</t>
  </si>
  <si>
    <t>001525045000091</t>
  </si>
  <si>
    <t>IFL</t>
  </si>
  <si>
    <t>DOUJA COMPANY</t>
  </si>
  <si>
    <t>MOBLI DEAL</t>
  </si>
  <si>
    <t>001534476000079</t>
  </si>
  <si>
    <t>AMIPRINT</t>
  </si>
  <si>
    <t>001530384000080</t>
  </si>
  <si>
    <t>001527150000001</t>
  </si>
  <si>
    <t>TOO MORE</t>
  </si>
  <si>
    <t>002008707000036</t>
  </si>
  <si>
    <t>000058992000053</t>
  </si>
  <si>
    <t>IWAVETE</t>
  </si>
  <si>
    <t>001546706000057</t>
  </si>
  <si>
    <t>STE D'INVESTI.IMMOB ET TOURISTIQUE</t>
  </si>
  <si>
    <t>HELICE 6</t>
  </si>
  <si>
    <t>001637112000003</t>
  </si>
  <si>
    <t>MARKETING SERVICE</t>
  </si>
  <si>
    <t>001600840000035</t>
  </si>
  <si>
    <t>AMOUD</t>
  </si>
  <si>
    <t>000060185000046</t>
  </si>
  <si>
    <t>001539589000059</t>
  </si>
  <si>
    <t>RODEO COMMUNICATION</t>
  </si>
  <si>
    <t>SIGALYTE</t>
  </si>
  <si>
    <t>MODIFICATION</t>
  </si>
  <si>
    <t>HOTEL GRAND MOGADOR</t>
  </si>
  <si>
    <t>001546786000031</t>
  </si>
  <si>
    <t>VIRGIN MEGA STORES</t>
  </si>
  <si>
    <t>001540949000005</t>
  </si>
  <si>
    <t>PAULE CLEMENT</t>
  </si>
  <si>
    <t>001818313000062</t>
  </si>
  <si>
    <t>001858385000056</t>
  </si>
  <si>
    <t>001545300000092</t>
  </si>
  <si>
    <t>IKEA</t>
  </si>
  <si>
    <t>PH E6 MARINA</t>
  </si>
  <si>
    <t>EVENEVA</t>
  </si>
  <si>
    <t>001950098000021</t>
  </si>
  <si>
    <t>MOBIDEAL</t>
  </si>
  <si>
    <t>TVA DED 7%</t>
  </si>
  <si>
    <t>LE SAISONNIER</t>
  </si>
  <si>
    <t>000038914000026</t>
  </si>
  <si>
    <t>MNAR CASTER</t>
  </si>
  <si>
    <t>NESPRINT</t>
  </si>
  <si>
    <t>ALPHA 55</t>
  </si>
  <si>
    <t>40291050</t>
  </si>
  <si>
    <t>000058062000040</t>
  </si>
  <si>
    <t>01048559</t>
  </si>
  <si>
    <t>001669313000084</t>
  </si>
  <si>
    <t>ELITE PUB</t>
  </si>
  <si>
    <t>UNIVERS CHAUSSETTE</t>
  </si>
  <si>
    <t>26130011</t>
  </si>
  <si>
    <t>001997537000053</t>
  </si>
  <si>
    <t>2820831</t>
  </si>
  <si>
    <t>00169501800084</t>
  </si>
  <si>
    <t>UNITED SHOWS AGENCY</t>
  </si>
  <si>
    <t>001511597000019</t>
  </si>
  <si>
    <t>LESS AND CARRY</t>
  </si>
  <si>
    <t>000338945000047</t>
  </si>
  <si>
    <t>MARJANE HOLDING</t>
  </si>
  <si>
    <t>WOOD ART</t>
  </si>
  <si>
    <t>000082761000042</t>
  </si>
  <si>
    <t>EG CONSULTING</t>
  </si>
  <si>
    <t>001458244000003</t>
  </si>
  <si>
    <t>CARREFOUR</t>
  </si>
  <si>
    <t>001531173000020</t>
  </si>
  <si>
    <t>000221005000014</t>
  </si>
  <si>
    <t>COMMISSION</t>
  </si>
  <si>
    <t>40259092</t>
  </si>
  <si>
    <t>TELEPHONE</t>
  </si>
  <si>
    <t>ALT MEDICAL</t>
  </si>
  <si>
    <t>000010644000023</t>
  </si>
  <si>
    <t>IMPRESSION</t>
  </si>
  <si>
    <t>FMAA2006449</t>
  </si>
  <si>
    <t>000102</t>
  </si>
  <si>
    <t>CADRE BLANC</t>
  </si>
  <si>
    <t>RELEVE 10-2020</t>
  </si>
  <si>
    <t>PUBLI WAY</t>
  </si>
  <si>
    <t>4CUPS</t>
  </si>
  <si>
    <t>SCOM4YOU</t>
  </si>
  <si>
    <t>2020/014</t>
  </si>
  <si>
    <t>2020/011</t>
  </si>
  <si>
    <t>2019/608</t>
  </si>
  <si>
    <t>SC003/2020</t>
  </si>
  <si>
    <t>DISTRIBUTION FLAYERS</t>
  </si>
  <si>
    <t>FA0216</t>
  </si>
  <si>
    <t>TI SHIRT</t>
  </si>
  <si>
    <t>431/20</t>
  </si>
  <si>
    <t>POT EN PLASTIQUE</t>
  </si>
  <si>
    <t>VERDIA ESPACES VERTS</t>
  </si>
  <si>
    <t>000096784000012</t>
  </si>
  <si>
    <t>001976385000021</t>
  </si>
  <si>
    <t>187/20</t>
  </si>
  <si>
    <t>PRODUCTION SAC</t>
  </si>
  <si>
    <t>000058603000080</t>
  </si>
  <si>
    <t>GOBLETS</t>
  </si>
  <si>
    <t>FC2-009031</t>
  </si>
  <si>
    <t>FILM, CAISSE</t>
  </si>
  <si>
    <t>CAPMAN</t>
  </si>
  <si>
    <t>001560206000083</t>
  </si>
  <si>
    <t>FILM A BULLE</t>
  </si>
  <si>
    <t>FC2-009032</t>
  </si>
  <si>
    <t>670/2020</t>
  </si>
  <si>
    <t>REPARATION AFFICHEUR</t>
  </si>
  <si>
    <t>BLEUSAM</t>
  </si>
  <si>
    <t>001509766000083</t>
  </si>
  <si>
    <t>F11/2020</t>
  </si>
  <si>
    <t>LOCATION STAND</t>
  </si>
  <si>
    <t>DECOUPE PLASTIQUE</t>
  </si>
  <si>
    <t>FA0194</t>
  </si>
  <si>
    <t>POLO</t>
  </si>
  <si>
    <t>Facture 09-2020</t>
  </si>
  <si>
    <t>FC2-009311</t>
  </si>
  <si>
    <t>FILM ALIMENTAIRE</t>
  </si>
  <si>
    <t>FA0188</t>
  </si>
  <si>
    <t>206352</t>
  </si>
  <si>
    <t>BALLON, POPS POCKET</t>
  </si>
  <si>
    <t>DECLARATION TVA 11-2020</t>
  </si>
  <si>
    <t>ECO COURSE</t>
  </si>
  <si>
    <t>RELEVE 11-2020</t>
  </si>
  <si>
    <t>RAOUF NEGOCE</t>
  </si>
  <si>
    <t>F*20F0272</t>
  </si>
  <si>
    <t>MULTICABLE</t>
  </si>
  <si>
    <t>F*2020/475</t>
  </si>
  <si>
    <t>FLYER , LOGO</t>
  </si>
  <si>
    <t>MASSICOT</t>
  </si>
  <si>
    <t>F*2020/420</t>
  </si>
  <si>
    <t>CERCLE, PANNEAU</t>
  </si>
  <si>
    <t>F*2020/256</t>
  </si>
  <si>
    <t>PRESTATION DE SERVICE</t>
  </si>
  <si>
    <t>F*FA-2019-150</t>
  </si>
  <si>
    <t>F*FA0216</t>
  </si>
  <si>
    <t>T-SHIRT</t>
  </si>
  <si>
    <t>F*187/20</t>
  </si>
  <si>
    <t>SAC EN TOILE</t>
  </si>
  <si>
    <t>F*206352</t>
  </si>
  <si>
    <t>MULTICABLE,POPS POCKET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</si>
</sst>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_-* #,##0.00\ _D_H_S_-;\-* #,##0.00\ _D_H_S_-;_-* &quot;-&quot;??\ _D_H_S_-;_-@_-"/>
    <numFmt numFmtId="165" formatCode="#,##0.00;[Red]#,##0.00"/>
    <numFmt numFmtId="166" formatCode="0.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mbri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b/>
      <sz val="7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b/>
      <sz val="11"/>
      <color rgb="FFFF0000"/>
      <name val="Calibri"/>
      <family val="2"/>
      <scheme val="minor"/>
    </font>
    <font>
      <u/>
      <sz val="11"/>
      <color rgb="FF660066"/>
      <name val="Calibri"/>
      <family val="2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2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2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6" fillId="0" borderId="0"/>
    <xf numFmtId="0" fontId="2" fillId="0" borderId="0"/>
    <xf numFmtId="0" fontId="13" fillId="0" borderId="0"/>
    <xf numFmtId="43" fontId="13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1" xfId="0" applyFont="1" applyFill="1" applyBorder="1" applyProtection="1">
      <protection locked="0"/>
    </xf>
    <xf numFmtId="0" fontId="4" fillId="2" borderId="1" xfId="0" applyFont="1" applyFill="1" applyBorder="1" applyAlignment="1" applyProtection="1">
      <alignment horizontal="right"/>
      <protection locked="0"/>
    </xf>
    <xf numFmtId="43" fontId="0" fillId="0" borderId="0" xfId="1" applyFont="1"/>
    <xf numFmtId="43" fontId="2" fillId="0" borderId="0" xfId="1"/>
    <xf numFmtId="165" fontId="0" fillId="0" borderId="0" xfId="0" applyNumberFormat="1"/>
    <xf numFmtId="166" fontId="0" fillId="0" borderId="0" xfId="23" applyNumberFormat="1" applyFon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43" fontId="0" fillId="0" borderId="1" xfId="1" applyFont="1" applyBorder="1"/>
    <xf numFmtId="43" fontId="10" fillId="0" borderId="0" xfId="1" applyFont="1"/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9" fontId="9" fillId="3" borderId="8" xfId="23" applyFont="1" applyFill="1" applyBorder="1" applyAlignment="1">
      <alignment horizontal="center" vertical="center"/>
    </xf>
    <xf numFmtId="9" fontId="0" fillId="0" borderId="0" xfId="23" applyFont="1"/>
    <xf numFmtId="43" fontId="9" fillId="3" borderId="8" xfId="1" applyFont="1" applyFill="1" applyBorder="1" applyAlignment="1">
      <alignment horizontal="center" vertical="center"/>
    </xf>
    <xf numFmtId="0" fontId="11" fillId="0" borderId="0" xfId="0" applyFont="1"/>
    <xf numFmtId="43" fontId="11" fillId="0" borderId="0" xfId="1" applyFont="1"/>
    <xf numFmtId="0" fontId="12" fillId="0" borderId="0" xfId="0" applyFont="1"/>
    <xf numFmtId="165" fontId="12" fillId="0" borderId="0" xfId="1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quotePrefix="1" applyAlignment="1">
      <alignment horizontal="center" vertical="top"/>
    </xf>
    <xf numFmtId="0" fontId="0" fillId="0" borderId="0" xfId="0" quotePrefix="1" applyAlignment="1">
      <alignment horizontal="center"/>
    </xf>
    <xf numFmtId="0" fontId="10" fillId="0" borderId="0" xfId="0" applyFont="1" applyAlignment="1">
      <alignment horizontal="center"/>
    </xf>
    <xf numFmtId="43" fontId="3" fillId="0" borderId="1" xfId="1" applyFont="1" applyBorder="1"/>
    <xf numFmtId="0" fontId="13" fillId="0" borderId="0" xfId="27"/>
    <xf numFmtId="43" fontId="0" fillId="0" borderId="0" xfId="28" applyFont="1"/>
    <xf numFmtId="43" fontId="13" fillId="0" borderId="0" xfId="27" applyNumberFormat="1"/>
    <xf numFmtId="0" fontId="3" fillId="0" borderId="11" xfId="0" applyFont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0" fontId="0" fillId="0" borderId="0" xfId="0" quotePrefix="1"/>
    <xf numFmtId="14" fontId="0" fillId="0" borderId="0" xfId="0" applyNumberFormat="1"/>
    <xf numFmtId="0" fontId="14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3" fontId="5" fillId="0" borderId="0" xfId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4" fontId="5" fillId="0" borderId="0" xfId="0" applyNumberFormat="1" applyFont="1" applyAlignment="1" applyProtection="1">
      <alignment horizontal="center" vertical="center"/>
      <protection locked="0"/>
    </xf>
    <xf numFmtId="43" fontId="2" fillId="0" borderId="1" xfId="1" applyBorder="1"/>
    <xf numFmtId="43" fontId="15" fillId="0" borderId="0" xfId="1" applyFont="1"/>
    <xf numFmtId="43" fontId="5" fillId="0" borderId="0" xfId="0" applyNumberFormat="1" applyFont="1"/>
    <xf numFmtId="0" fontId="9" fillId="3" borderId="0" xfId="0" applyFont="1" applyFill="1" applyAlignment="1">
      <alignment horizontal="center" vertical="center"/>
    </xf>
    <xf numFmtId="49" fontId="5" fillId="0" borderId="0" xfId="0" applyNumberFormat="1" applyFont="1" applyAlignment="1" applyProtection="1">
      <alignment horizontal="left" vertical="center"/>
      <protection locked="0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164" fontId="0" fillId="0" borderId="0" xfId="0" applyNumberFormat="1"/>
    <xf numFmtId="14" fontId="0" fillId="0" borderId="0" xfId="0" quotePrefix="1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65" fontId="15" fillId="0" borderId="0" xfId="1" applyNumberFormat="1" applyFont="1"/>
    <xf numFmtId="43" fontId="0" fillId="0" borderId="1" xfId="1" applyFont="1" applyFill="1" applyBorder="1"/>
    <xf numFmtId="9" fontId="0" fillId="0" borderId="0" xfId="23" applyFont="1" applyAlignment="1">
      <alignment horizontal="center"/>
    </xf>
    <xf numFmtId="43" fontId="3" fillId="0" borderId="0" xfId="0" applyNumberFormat="1" applyFont="1"/>
    <xf numFmtId="0" fontId="0" fillId="0" borderId="0" xfId="0"/>
    <xf numFmtId="43" fontId="2" fillId="0" borderId="1" xfId="1" applyFill="1" applyBorder="1"/>
    <xf numFmtId="43" fontId="0" fillId="0" borderId="0" xfId="0" applyNumberFormat="1"/>
    <xf numFmtId="0" fontId="5" fillId="0" borderId="0" xfId="0" applyNumberFormat="1" applyFont="1" applyAlignment="1" applyProtection="1">
      <alignment horizontal="left" vertical="center"/>
      <protection locked="0"/>
    </xf>
    <xf numFmtId="0" fontId="0" fillId="4" borderId="0" xfId="0" applyFill="1"/>
    <xf numFmtId="0" fontId="0" fillId="4" borderId="0" xfId="0" quotePrefix="1" applyFill="1"/>
    <xf numFmtId="0" fontId="0" fillId="4" borderId="0" xfId="0" quotePrefix="1" applyFill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/>
    <xf numFmtId="0" fontId="0" fillId="0" borderId="0" xfId="0" applyFill="1" applyAlignment="1">
      <alignment horizontal="center"/>
    </xf>
    <xf numFmtId="14" fontId="0" fillId="0" borderId="0" xfId="0" quotePrefix="1" applyNumberFormat="1" applyFill="1" applyAlignment="1">
      <alignment horizontal="left"/>
    </xf>
    <xf numFmtId="43" fontId="0" fillId="0" borderId="0" xfId="1" applyFont="1" applyFill="1"/>
    <xf numFmtId="43" fontId="2" fillId="0" borderId="0" xfId="1" applyFill="1"/>
    <xf numFmtId="0" fontId="0" fillId="0" borderId="0" xfId="0" applyFont="1" applyFill="1"/>
    <xf numFmtId="0" fontId="0" fillId="0" borderId="0" xfId="0" applyFill="1"/>
    <xf numFmtId="9" fontId="0" fillId="0" borderId="0" xfId="23" applyFont="1" applyFill="1" applyAlignment="1">
      <alignment horizontal="center"/>
    </xf>
    <xf numFmtId="14" fontId="0" fillId="0" borderId="0" xfId="0" applyNumberFormat="1" applyFill="1"/>
    <xf numFmtId="0" fontId="0" fillId="0" borderId="0" xfId="0" applyFill="1" applyAlignment="1">
      <alignment horizontal="left"/>
    </xf>
    <xf numFmtId="0" fontId="0" fillId="5" borderId="0" xfId="0" applyFill="1"/>
    <xf numFmtId="0" fontId="0" fillId="5" borderId="0" xfId="0" quotePrefix="1" applyFill="1"/>
    <xf numFmtId="0" fontId="0" fillId="5" borderId="0" xfId="0" quotePrefix="1" applyFill="1" applyAlignment="1">
      <alignment horizontal="center"/>
    </xf>
    <xf numFmtId="0" fontId="14" fillId="5" borderId="0" xfId="0" quotePrefix="1" applyFont="1" applyFill="1" applyAlignment="1">
      <alignment horizontal="center" vertical="center"/>
    </xf>
    <xf numFmtId="0" fontId="0" fillId="0" borderId="0" xfId="0"/>
    <xf numFmtId="0" fontId="0" fillId="0" borderId="0" xfId="0" applyFont="1" applyProtection="1">
      <protection locked="0"/>
    </xf>
    <xf numFmtId="49" fontId="5" fillId="0" borderId="0" xfId="0" applyNumberFormat="1" applyFont="1" applyProtection="1">
      <protection locked="0"/>
    </xf>
    <xf numFmtId="43" fontId="5" fillId="0" borderId="0" xfId="1" applyNumberFormat="1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49" fontId="5" fillId="0" borderId="0" xfId="0" applyNumberFormat="1" applyFont="1" applyAlignment="1" applyProtection="1">
      <alignment horizontal="left"/>
      <protection locked="0"/>
    </xf>
    <xf numFmtId="43" fontId="5" fillId="0" borderId="0" xfId="1" applyFont="1" applyProtection="1">
      <protection locked="0"/>
    </xf>
    <xf numFmtId="0" fontId="5" fillId="0" borderId="0" xfId="0" applyFont="1" applyProtection="1">
      <protection locked="0"/>
    </xf>
    <xf numFmtId="14" fontId="5" fillId="0" borderId="0" xfId="0" applyNumberFormat="1" applyFont="1" applyProtection="1">
      <protection locked="0"/>
    </xf>
    <xf numFmtId="0" fontId="0" fillId="0" borderId="0" xfId="0"/>
    <xf numFmtId="0" fontId="0" fillId="0" borderId="0" xfId="0" applyFont="1" applyFill="1" applyBorder="1"/>
    <xf numFmtId="0" fontId="0" fillId="0" borderId="0" xfId="0"/>
    <xf numFmtId="0" fontId="17" fillId="0" borderId="0" xfId="0" applyFont="1"/>
    <xf numFmtId="0" fontId="0" fillId="0" borderId="0" xfId="0"/>
    <xf numFmtId="17" fontId="0" fillId="0" borderId="0" xfId="0" applyNumberFormat="1"/>
    <xf numFmtId="0" fontId="0" fillId="0" borderId="0" xfId="0"/>
    <xf numFmtId="0" fontId="7" fillId="2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43" fontId="3" fillId="0" borderId="0" xfId="1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/>
  </cellXfs>
  <cellStyles count="29">
    <cellStyle name="Milliers" xfId="1" builtinId="3"/>
    <cellStyle name="Milliers 2" xfId="3"/>
    <cellStyle name="Milliers 2 2" xfId="14"/>
    <cellStyle name="Milliers 2 3" xfId="24"/>
    <cellStyle name="Milliers 3" xfId="8"/>
    <cellStyle name="Milliers 4" xfId="15"/>
    <cellStyle name="Milliers 5" xfId="28"/>
    <cellStyle name="Milliers 6" xfId="16"/>
    <cellStyle name="Normal" xfId="0" builtinId="0"/>
    <cellStyle name="Normal 10" xfId="17"/>
    <cellStyle name="Normal 11" xfId="10"/>
    <cellStyle name="Normal 12" xfId="11"/>
    <cellStyle name="Normal 13" xfId="12"/>
    <cellStyle name="Normal 14" xfId="27"/>
    <cellStyle name="Normal 15" xfId="18"/>
    <cellStyle name="Normal 2" xfId="2"/>
    <cellStyle name="Normal 2 2" xfId="19"/>
    <cellStyle name="Normal 2 3" xfId="25"/>
    <cellStyle name="Normal 3" xfId="4"/>
    <cellStyle name="Normal 3 2" xfId="26"/>
    <cellStyle name="Normal 4" xfId="5"/>
    <cellStyle name="Normal 5" xfId="6"/>
    <cellStyle name="Normal 6" xfId="7"/>
    <cellStyle name="Normal 7" xfId="9"/>
    <cellStyle name="Normal 8" xfId="20"/>
    <cellStyle name="Normal 9" xfId="21"/>
    <cellStyle name="Pourcentage" xfId="23" builtinId="5"/>
    <cellStyle name="Pourcentage 2" xfId="13"/>
    <cellStyle name="Pourcentage 2 2" xfId="22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\ _€_-;\-* #,##0.0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\ _€_-;\-* #,##0.00\ _€_-;_-* &quot;-&quot;??\ _€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\ _€_-;\-* #,##0.0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\ _€_-;\-* #,##0.00\ _€_-;_-* &quot;-&quot;??\ _€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\ _€_-;\-* #,##0.0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5" formatCode="_-* #,##0.00\ _€_-;\-* #,##0.00\ _€_-;_-* &quot;-&quot;??\ _€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protection locked="0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DeclarationReleveDeduction">
        <xs:complexType>
          <xs:sequence>
            <xs:element type="xs:int" name="identifiantFiscal"/>
            <xs:element type="xs:short" name="annee"/>
            <xs:element type="xs:byte" name="periode"/>
            <xs:element type="xs:byte" name="regime"/>
            <xs:element name="releveDeductions">
              <xs:complexType>
                <xs:sequence>
                  <xs:element name="rd" maxOccurs="unbounded" minOccurs="0">
                    <xs:complexType>
                      <xs:sequence>
                        <xs:element type="xs:byte" name="ord"/>
                        <xs:element type="xs:string" name="num"/>
                        <xs:element type="xs:string" name="des"/>
                        <xs:element type="xs:float" name="mht"/>
                        <xs:element type="xs:float" name="tva"/>
                        <xs:element type="xs:float" name="ttc"/>
                        <xs:element name="refF">
                          <xs:complexType>
                            <xs:sequence>
                              <xs:element type="xs:int" name="if"/>
                              <xs:element type="xs:string" name="nom"/>
                              <xs:element type="xs:string" name="ice"/>
                            </xs:sequence>
                          </xs:complexType>
                        </xs:element>
                        <xs:element type="xs:float" name="tx"/>
                        <xs:element name="mp">
                          <xs:complexType>
                            <xs:sequence>
                              <xs:element type="xs:byte" name="id"/>
                            </xs:sequence>
                          </xs:complexType>
                        </xs:element>
                        <xs:element type="xs:date" name="dpai"/>
                        <xs:element type="xs:date" name="dfac"/>
                      </xs:sequence>
                    </xs:complexType>
                  </xs:element>
                </xs:sequence>
              </xs:complexType>
            </xs:element>
          </xs:sequence>
        </xs:complexType>
      </xs:element>
    </xs:schema>
  </Schema>
  <Map ID="1" Name="DeclarationReleveDeduction_Mappage" RootElement="DeclarationReleveDeduction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803462</xdr:colOff>
      <xdr:row>0</xdr:row>
      <xdr:rowOff>67235</xdr:rowOff>
    </xdr:from>
    <xdr:to>
      <xdr:col>7</xdr:col>
      <xdr:colOff>280148</xdr:colOff>
      <xdr:row>3</xdr:row>
      <xdr:rowOff>78441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6168" y="67235"/>
          <a:ext cx="1135156" cy="560294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0</xdr:row>
      <xdr:rowOff>152400</xdr:rowOff>
    </xdr:from>
    <xdr:to>
      <xdr:col>12</xdr:col>
      <xdr:colOff>780419</xdr:colOff>
      <xdr:row>0</xdr:row>
      <xdr:rowOff>156661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152400"/>
          <a:ext cx="1399544" cy="42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1</xdr:row>
          <xdr:rowOff>57150</xdr:rowOff>
        </xdr:from>
        <xdr:to>
          <xdr:col>4</xdr:col>
          <xdr:colOff>352425</xdr:colOff>
          <xdr:row>3</xdr:row>
          <xdr:rowOff>152400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660066"/>
                  </a:solidFill>
                  <a:latin typeface="Calibri"/>
                </a:rPr>
                <a:t>Generer XML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" name="Tableau57" displayName="Tableau57" ref="A8:M40" tableType="xml" totalsRowCount="1" headerRowDxfId="19" dataDxfId="18" totalsRowDxfId="17">
  <sortState ref="A9:M28">
    <sortCondition ref="L9:L28"/>
  </sortState>
  <tableColumns count="13">
    <tableColumn id="1" uniqueName="ord" name="OR" totalsRowLabel="Total" dataDxfId="16">
      <xmlColumnPr mapId="1" xpath="/DeclarationReleveDeduction/releveDeductions/rd/ord" xmlDataType="byte"/>
    </tableColumn>
    <tableColumn id="2" uniqueName="num" name="FACT_NUM" dataDxfId="15" totalsRowDxfId="14">
      <xmlColumnPr mapId="1" xpath="/DeclarationReleveDeduction/releveDeductions/rd/num" xmlDataType="string"/>
    </tableColumn>
    <tableColumn id="3" uniqueName="des" name="DESIGNATION" dataDxfId="13">
      <xmlColumnPr mapId="1" xpath="/DeclarationReleveDeduction/releveDeductions/rd/des" xmlDataType="string"/>
    </tableColumn>
    <tableColumn id="4" uniqueName="mht" name="M_HT" totalsRowFunction="sum" dataDxfId="12" totalsRowDxfId="11" dataCellStyle="Milliers">
      <xmlColumnPr mapId="1" xpath="/DeclarationReleveDeduction/releveDeductions/rd/mht" xmlDataType="float"/>
    </tableColumn>
    <tableColumn id="5" uniqueName="tva" name="TVA" totalsRowFunction="sum" dataDxfId="10" totalsRowDxfId="9" dataCellStyle="Milliers">
      <xmlColumnPr mapId="1" xpath="/DeclarationReleveDeduction/releveDeductions/rd/tva" xmlDataType="float"/>
    </tableColumn>
    <tableColumn id="6" uniqueName="ttc" name="M_TTC" totalsRowFunction="sum" dataDxfId="8" totalsRowDxfId="7" dataCellStyle="Milliers">
      <xmlColumnPr mapId="1" xpath="/DeclarationReleveDeduction/releveDeductions/rd/ttc" xmlDataType="float"/>
    </tableColumn>
    <tableColumn id="7" uniqueName="if" name="IF" dataDxfId="6">
      <xmlColumnPr mapId="1" xpath="/DeclarationReleveDeduction/releveDeductions/rd/refF/if" xmlDataType="int"/>
    </tableColumn>
    <tableColumn id="8" uniqueName="nom" name="LIB_FRSS" dataDxfId="5">
      <xmlColumnPr mapId="1" xpath="/DeclarationReleveDeduction/releveDeductions/rd/refF/nom" xmlDataType="string"/>
    </tableColumn>
    <tableColumn id="9" uniqueName="ice" name="ICE_FRS" dataDxfId="4">
      <xmlColumnPr mapId="1" xpath="/DeclarationReleveDeduction/releveDeductions/rd/refF/ice" xmlDataType="string"/>
    </tableColumn>
    <tableColumn id="10" uniqueName="tx" name="TAUX" dataDxfId="3" dataCellStyle="Milliers">
      <xmlColumnPr mapId="1" xpath="/DeclarationReleveDeduction/releveDeductions/rd/tx" xmlDataType="float"/>
    </tableColumn>
    <tableColumn id="11" uniqueName="id" name="ID_PAIE" dataDxfId="2">
      <xmlColumnPr mapId="1" xpath="/DeclarationReleveDeduction/releveDeductions/rd/mp/id" xmlDataType="byte"/>
    </tableColumn>
    <tableColumn id="12" uniqueName="dpai" name="DATE_PAIE" dataDxfId="1">
      <xmlColumnPr mapId="1" xpath="/DeclarationReleveDeduction/releveDeductions/rd/dpai" xmlDataType="date"/>
    </tableColumn>
    <tableColumn id="13" uniqueName="dfac" name="DATE_FAC" totalsRowFunction="count" dataDxfId="0">
      <xmlColumnPr mapId="1" xpath="/DeclarationReleveDeduction/releveDeductions/rd/dfac" xmlDataType="date"/>
    </tableColumn>
  </tableColumns>
  <tableStyleInfo name="TableStyleMedium9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7" r="C3" connectionId="0">
    <xmlCellPr id="1" uniqueName="identifiantFiscal">
      <xmlPr mapId="1" xpath="/DeclarationReleveDeduction/identifiantFiscal" xmlDataType="int"/>
    </xmlCellPr>
  </singleXmlCell>
  <singleXmlCell id="8" r="C4" connectionId="0">
    <xmlCellPr id="1" uniqueName="annee">
      <xmlPr mapId="1" xpath="/DeclarationReleveDeduction/annee" xmlDataType="short"/>
    </xmlCellPr>
  </singleXmlCell>
  <singleXmlCell id="9" r="C5" connectionId="0">
    <xmlCellPr id="1" uniqueName="periode">
      <xmlPr mapId="1" xpath="/DeclarationReleveDeduction/periode" xmlDataType="byte"/>
    </xmlCellPr>
  </singleXmlCell>
  <singleXmlCell id="10" r="C6" connectionId="0">
    <xmlCellPr id="1" uniqueName="regime">
      <xmlPr mapId="1" xpath="/DeclarationReleveDeduction/regime" xmlDataType="byte"/>
    </xmlCellPr>
  </singleXmlCell>
</singleXmlCell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tableSingleCells" Target="../tables/tableSingleCell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9" tint="-0.249977111117893"/>
  </sheetPr>
  <dimension ref="A1:XFC669"/>
  <sheetViews>
    <sheetView showGridLines="0" zoomScale="85" zoomScaleNormal="85" workbookViewId="0">
      <pane ySplit="8" topLeftCell="A9" activePane="bottomLeft" state="frozen"/>
      <selection pane="bottomLeft" activeCell="C6" sqref="C6"/>
    </sheetView>
  </sheetViews>
  <sheetFormatPr baseColWidth="10" defaultColWidth="0" defaultRowHeight="15" customHeight="1" zeroHeight="1" x14ac:dyDescent="0.25"/>
  <cols>
    <col min="1" max="1" width="4.42578125" customWidth="1"/>
    <col min="2" max="2" width="15.5703125" style="10" customWidth="1"/>
    <col min="3" max="3" width="17.42578125" customWidth="1"/>
    <col min="4" max="4" width="13.5703125" customWidth="1"/>
    <col min="5" max="5" width="14.7109375" customWidth="1"/>
    <col min="6" max="6" width="14" customWidth="1"/>
    <col min="7" max="7" width="10.85546875" customWidth="1"/>
    <col min="8" max="8" width="15.85546875" customWidth="1"/>
    <col min="9" max="9" width="23.7109375" customWidth="1"/>
    <col min="10" max="10" width="8.42578125" customWidth="1"/>
    <col min="11" max="11" width="12.28515625" customWidth="1"/>
    <col min="12" max="12" width="13" customWidth="1"/>
    <col min="13" max="13" width="12.5703125" customWidth="1"/>
    <col min="14" max="15" width="11.42578125" hidden="1" customWidth="1"/>
    <col min="16" max="17" width="0" hidden="1" customWidth="1"/>
    <col min="18" max="16378" width="11.42578125" hidden="1"/>
    <col min="16379" max="16379" width="7.7109375" hidden="1" customWidth="1"/>
    <col min="16380" max="16380" width="12.5703125" hidden="1" customWidth="1"/>
    <col min="16381" max="16381" width="7.42578125" hidden="1" customWidth="1"/>
    <col min="16382" max="16382" width="3.42578125" hidden="1" customWidth="1"/>
    <col min="16383" max="16383" width="1.85546875" hidden="1" customWidth="1"/>
    <col min="16384" max="16384" width="2.5703125" customWidth="1"/>
  </cols>
  <sheetData>
    <row r="1" spans="1:15" ht="18.75" customHeight="1" x14ac:dyDescent="0.25">
      <c r="A1" s="2"/>
      <c r="B1" s="9"/>
      <c r="C1" s="2"/>
      <c r="D1" s="2"/>
      <c r="E1" s="2"/>
      <c r="F1" s="2"/>
      <c r="G1" s="2"/>
      <c r="H1" s="2"/>
      <c r="I1" s="2"/>
      <c r="J1" s="2"/>
      <c r="K1" s="2"/>
      <c r="L1" s="106" t="s">
        <v>10</v>
      </c>
      <c r="M1" s="106"/>
      <c r="N1" s="2"/>
      <c r="O1" s="2"/>
    </row>
    <row r="2" spans="1:15" ht="12.75" customHeight="1" x14ac:dyDescent="0.3">
      <c r="A2" s="102" t="s">
        <v>8</v>
      </c>
      <c r="B2" s="102"/>
      <c r="C2" s="4" t="s">
        <v>111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ht="12.75" customHeight="1" x14ac:dyDescent="0.3">
      <c r="A3" s="102" t="s">
        <v>0</v>
      </c>
      <c r="B3" s="102"/>
      <c r="C3" s="3">
        <v>15200170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ht="12.75" customHeight="1" x14ac:dyDescent="0.3">
      <c r="A4" s="102" t="s">
        <v>1</v>
      </c>
      <c r="B4" s="102"/>
      <c r="C4" s="3">
        <v>2020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ht="12.75" customHeight="1" x14ac:dyDescent="0.25">
      <c r="A5" s="102" t="s">
        <v>13</v>
      </c>
      <c r="B5" s="102"/>
      <c r="C5" s="3">
        <v>10</v>
      </c>
      <c r="D5" s="2"/>
      <c r="E5" s="2"/>
      <c r="F5" s="107" t="s">
        <v>11</v>
      </c>
      <c r="G5" s="108"/>
      <c r="H5" s="108"/>
      <c r="I5" s="108"/>
      <c r="J5" s="108"/>
      <c r="K5" s="109"/>
      <c r="L5" s="2"/>
      <c r="M5" s="2"/>
      <c r="N5" s="2"/>
      <c r="O5" s="2"/>
    </row>
    <row r="6" spans="1:15" ht="12.75" customHeight="1" x14ac:dyDescent="0.25">
      <c r="A6" s="102" t="s">
        <v>14</v>
      </c>
      <c r="B6" s="102"/>
      <c r="C6" s="3">
        <v>1</v>
      </c>
      <c r="D6" s="2"/>
      <c r="E6" s="2"/>
      <c r="F6" s="103" t="s">
        <v>12</v>
      </c>
      <c r="G6" s="104"/>
      <c r="H6" s="104"/>
      <c r="I6" s="104"/>
      <c r="J6" s="104"/>
      <c r="K6" s="105"/>
      <c r="L6" s="2"/>
      <c r="M6" s="2"/>
      <c r="N6" s="2"/>
      <c r="O6" s="2"/>
    </row>
    <row r="7" spans="1:15" ht="20.100000000000001" customHeight="1" x14ac:dyDescent="0.3">
      <c r="A7" s="2"/>
      <c r="B7" s="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0.100000000000001" customHeight="1" x14ac:dyDescent="0.3">
      <c r="A8" s="1" t="s">
        <v>16</v>
      </c>
      <c r="B8" s="1" t="s">
        <v>17</v>
      </c>
      <c r="C8" s="1" t="s">
        <v>15</v>
      </c>
      <c r="D8" s="1" t="s">
        <v>2</v>
      </c>
      <c r="E8" s="1" t="s">
        <v>3</v>
      </c>
      <c r="F8" s="1" t="s">
        <v>18</v>
      </c>
      <c r="G8" s="1" t="s">
        <v>7</v>
      </c>
      <c r="H8" s="1" t="s">
        <v>19</v>
      </c>
      <c r="I8" s="1" t="s">
        <v>21</v>
      </c>
      <c r="J8" s="1" t="s">
        <v>4</v>
      </c>
      <c r="K8" s="1" t="s">
        <v>20</v>
      </c>
      <c r="L8" s="1" t="s">
        <v>5</v>
      </c>
      <c r="M8" s="1" t="s">
        <v>6</v>
      </c>
    </row>
    <row r="9" spans="1:15" ht="14.45" x14ac:dyDescent="0.3">
      <c r="A9" s="38">
        <v>1</v>
      </c>
      <c r="B9" s="47" t="s">
        <v>297</v>
      </c>
      <c r="C9" s="39" t="s">
        <v>288</v>
      </c>
      <c r="D9" s="40">
        <v>5.9999999999999991</v>
      </c>
      <c r="E9" s="40">
        <v>0.60000000000000053</v>
      </c>
      <c r="F9" s="40">
        <v>6.6</v>
      </c>
      <c r="G9" s="66">
        <v>1085466</v>
      </c>
      <c r="H9" s="39" t="s">
        <v>46</v>
      </c>
      <c r="I9" s="47" t="s">
        <v>47</v>
      </c>
      <c r="J9" s="40">
        <v>0.1</v>
      </c>
      <c r="K9" s="41">
        <v>3</v>
      </c>
      <c r="L9" s="42">
        <v>44109</v>
      </c>
      <c r="M9" s="42">
        <v>44109</v>
      </c>
    </row>
    <row r="10" spans="1:15" ht="14.45" x14ac:dyDescent="0.3">
      <c r="A10" s="87">
        <v>2</v>
      </c>
      <c r="B10" s="47" t="s">
        <v>297</v>
      </c>
      <c r="C10" s="88" t="s">
        <v>288</v>
      </c>
      <c r="D10" s="89">
        <v>5.9999999999999991</v>
      </c>
      <c r="E10" s="89">
        <v>0.60000000000000053</v>
      </c>
      <c r="F10" s="89">
        <v>6.6</v>
      </c>
      <c r="G10" s="90">
        <v>1085466</v>
      </c>
      <c r="H10" s="88" t="s">
        <v>46</v>
      </c>
      <c r="I10" s="91" t="s">
        <v>47</v>
      </c>
      <c r="J10" s="92">
        <v>0.1</v>
      </c>
      <c r="K10" s="93">
        <v>3</v>
      </c>
      <c r="L10" s="94">
        <v>44116</v>
      </c>
      <c r="M10" s="94">
        <v>44116</v>
      </c>
    </row>
    <row r="11" spans="1:15" ht="14.45" x14ac:dyDescent="0.3">
      <c r="A11" s="87">
        <v>3</v>
      </c>
      <c r="B11" s="47" t="s">
        <v>297</v>
      </c>
      <c r="C11" s="88" t="s">
        <v>288</v>
      </c>
      <c r="D11" s="89">
        <v>5.9999999999999991</v>
      </c>
      <c r="E11" s="89">
        <v>0.60000000000000053</v>
      </c>
      <c r="F11" s="89">
        <v>6.6</v>
      </c>
      <c r="G11" s="90">
        <v>1085466</v>
      </c>
      <c r="H11" s="88" t="s">
        <v>46</v>
      </c>
      <c r="I11" s="91" t="s">
        <v>47</v>
      </c>
      <c r="J11" s="92">
        <v>0.1</v>
      </c>
      <c r="K11" s="93">
        <v>3</v>
      </c>
      <c r="L11" s="94">
        <v>44116</v>
      </c>
      <c r="M11" s="94">
        <v>44116</v>
      </c>
    </row>
    <row r="12" spans="1:15" ht="14.45" x14ac:dyDescent="0.3">
      <c r="A12" s="87">
        <v>4</v>
      </c>
      <c r="B12" s="47" t="s">
        <v>297</v>
      </c>
      <c r="C12" s="88" t="s">
        <v>288</v>
      </c>
      <c r="D12" s="89">
        <v>5.9999999999999991</v>
      </c>
      <c r="E12" s="89">
        <v>0.60000000000000053</v>
      </c>
      <c r="F12" s="89">
        <v>6.6</v>
      </c>
      <c r="G12" s="90">
        <v>1085466</v>
      </c>
      <c r="H12" s="88" t="s">
        <v>46</v>
      </c>
      <c r="I12" s="91" t="s">
        <v>47</v>
      </c>
      <c r="J12" s="92">
        <v>0.1</v>
      </c>
      <c r="K12" s="93">
        <v>3</v>
      </c>
      <c r="L12" s="94">
        <v>44119</v>
      </c>
      <c r="M12" s="94">
        <v>44119</v>
      </c>
    </row>
    <row r="13" spans="1:15" ht="14.45" x14ac:dyDescent="0.3">
      <c r="A13" s="87">
        <v>5</v>
      </c>
      <c r="B13" s="47" t="s">
        <v>297</v>
      </c>
      <c r="C13" s="88" t="s">
        <v>288</v>
      </c>
      <c r="D13" s="89">
        <v>5.9999999999999991</v>
      </c>
      <c r="E13" s="89">
        <v>0.60000000000000053</v>
      </c>
      <c r="F13" s="89">
        <v>6.6</v>
      </c>
      <c r="G13" s="90">
        <v>1085466</v>
      </c>
      <c r="H13" s="88" t="s">
        <v>46</v>
      </c>
      <c r="I13" s="91" t="s">
        <v>47</v>
      </c>
      <c r="J13" s="92">
        <v>0.1</v>
      </c>
      <c r="K13" s="93">
        <v>3</v>
      </c>
      <c r="L13" s="94">
        <v>44126</v>
      </c>
      <c r="M13" s="94">
        <v>44126</v>
      </c>
    </row>
    <row r="14" spans="1:15" ht="14.45" x14ac:dyDescent="0.3">
      <c r="A14" s="87">
        <v>6</v>
      </c>
      <c r="B14" s="47" t="s">
        <v>297</v>
      </c>
      <c r="C14" s="88" t="s">
        <v>288</v>
      </c>
      <c r="D14" s="89">
        <v>5.9999999999999991</v>
      </c>
      <c r="E14" s="89">
        <v>0.60000000000000053</v>
      </c>
      <c r="F14" s="89">
        <v>6.6</v>
      </c>
      <c r="G14" s="90">
        <v>1085466</v>
      </c>
      <c r="H14" s="88" t="s">
        <v>46</v>
      </c>
      <c r="I14" s="91" t="s">
        <v>47</v>
      </c>
      <c r="J14" s="92">
        <v>0.1</v>
      </c>
      <c r="K14" s="93">
        <v>3</v>
      </c>
      <c r="L14" s="94">
        <v>44127</v>
      </c>
      <c r="M14" s="94">
        <v>44127</v>
      </c>
    </row>
    <row r="15" spans="1:15" ht="14.45" x14ac:dyDescent="0.3">
      <c r="A15" s="87">
        <v>7</v>
      </c>
      <c r="B15" s="47" t="s">
        <v>335</v>
      </c>
      <c r="C15" s="88" t="s">
        <v>307</v>
      </c>
      <c r="D15" s="89">
        <v>1840</v>
      </c>
      <c r="E15" s="89">
        <v>368</v>
      </c>
      <c r="F15" s="89">
        <v>2208</v>
      </c>
      <c r="G15" s="90">
        <v>1622350</v>
      </c>
      <c r="H15" s="88" t="s">
        <v>62</v>
      </c>
      <c r="I15" s="91" t="s">
        <v>75</v>
      </c>
      <c r="J15" s="92">
        <v>0.2</v>
      </c>
      <c r="K15" s="93">
        <v>2</v>
      </c>
      <c r="L15" s="94">
        <v>44110</v>
      </c>
      <c r="M15" s="94">
        <v>44078</v>
      </c>
    </row>
    <row r="16" spans="1:15" ht="14.45" x14ac:dyDescent="0.3">
      <c r="A16" s="87">
        <v>8</v>
      </c>
      <c r="B16" s="47" t="s">
        <v>330</v>
      </c>
      <c r="C16" s="88" t="s">
        <v>331</v>
      </c>
      <c r="D16" s="89">
        <v>11025</v>
      </c>
      <c r="E16" s="89">
        <v>2205</v>
      </c>
      <c r="F16" s="89">
        <v>13230</v>
      </c>
      <c r="G16" s="90">
        <v>1622350</v>
      </c>
      <c r="H16" s="88" t="s">
        <v>62</v>
      </c>
      <c r="I16" s="91" t="s">
        <v>75</v>
      </c>
      <c r="J16" s="92">
        <v>0.2</v>
      </c>
      <c r="K16" s="93">
        <v>2</v>
      </c>
      <c r="L16" s="94">
        <v>44110</v>
      </c>
      <c r="M16" s="94">
        <v>44083</v>
      </c>
    </row>
    <row r="17" spans="1:13" ht="14.45" x14ac:dyDescent="0.3">
      <c r="A17" s="87">
        <v>9</v>
      </c>
      <c r="B17" s="47" t="s">
        <v>313</v>
      </c>
      <c r="C17" s="88" t="s">
        <v>314</v>
      </c>
      <c r="D17" s="89">
        <v>17425</v>
      </c>
      <c r="E17" s="89">
        <v>3485</v>
      </c>
      <c r="F17" s="89">
        <v>20910</v>
      </c>
      <c r="G17" s="90">
        <v>24844688</v>
      </c>
      <c r="H17" s="88" t="s">
        <v>298</v>
      </c>
      <c r="I17" s="91" t="s">
        <v>312</v>
      </c>
      <c r="J17" s="92">
        <v>0.2</v>
      </c>
      <c r="K17" s="93">
        <v>2</v>
      </c>
      <c r="L17" s="94">
        <v>44112</v>
      </c>
      <c r="M17" s="94">
        <v>44028</v>
      </c>
    </row>
    <row r="18" spans="1:13" ht="14.45" x14ac:dyDescent="0.3">
      <c r="A18" s="87">
        <v>10</v>
      </c>
      <c r="B18" s="47" t="s">
        <v>336</v>
      </c>
      <c r="C18" s="88" t="s">
        <v>337</v>
      </c>
      <c r="D18" s="89">
        <v>26337.674999999999</v>
      </c>
      <c r="E18" s="89">
        <v>5267.5349999999999</v>
      </c>
      <c r="F18" s="89">
        <v>31605.21</v>
      </c>
      <c r="G18" s="90">
        <v>20752123</v>
      </c>
      <c r="H18" s="88" t="s">
        <v>188</v>
      </c>
      <c r="I18" s="91" t="s">
        <v>196</v>
      </c>
      <c r="J18" s="92">
        <v>0.2</v>
      </c>
      <c r="K18" s="93">
        <v>2</v>
      </c>
      <c r="L18" s="94">
        <v>44113</v>
      </c>
      <c r="M18" s="94">
        <v>44111</v>
      </c>
    </row>
    <row r="19" spans="1:13" ht="14.45" x14ac:dyDescent="0.3">
      <c r="A19" s="87">
        <v>11</v>
      </c>
      <c r="B19" s="47" t="s">
        <v>306</v>
      </c>
      <c r="C19" s="88" t="s">
        <v>307</v>
      </c>
      <c r="D19" s="89">
        <v>36900</v>
      </c>
      <c r="E19" s="89">
        <v>7380</v>
      </c>
      <c r="F19" s="89">
        <v>44280</v>
      </c>
      <c r="G19" s="90">
        <v>1622350</v>
      </c>
      <c r="H19" s="88" t="s">
        <v>62</v>
      </c>
      <c r="I19" s="91" t="s">
        <v>75</v>
      </c>
      <c r="J19" s="92">
        <v>0.2</v>
      </c>
      <c r="K19" s="93">
        <v>2</v>
      </c>
      <c r="L19" s="94">
        <v>44113</v>
      </c>
      <c r="M19" s="94">
        <v>44125</v>
      </c>
    </row>
    <row r="20" spans="1:13" ht="14.45" x14ac:dyDescent="0.3">
      <c r="A20" s="87">
        <v>12</v>
      </c>
      <c r="B20" s="47">
        <v>20061</v>
      </c>
      <c r="C20" s="88" t="s">
        <v>316</v>
      </c>
      <c r="D20" s="89">
        <v>2500</v>
      </c>
      <c r="E20" s="89">
        <v>500</v>
      </c>
      <c r="F20" s="89">
        <v>3000</v>
      </c>
      <c r="G20" s="90">
        <v>40390650</v>
      </c>
      <c r="H20" s="88" t="s">
        <v>299</v>
      </c>
      <c r="I20" s="91" t="s">
        <v>315</v>
      </c>
      <c r="J20" s="92">
        <v>0.2</v>
      </c>
      <c r="K20" s="93">
        <v>2</v>
      </c>
      <c r="L20" s="94">
        <v>44117</v>
      </c>
      <c r="M20" s="94">
        <v>44120</v>
      </c>
    </row>
    <row r="21" spans="1:13" ht="14.45" x14ac:dyDescent="0.3">
      <c r="A21" s="87">
        <v>13</v>
      </c>
      <c r="B21" s="47">
        <v>20061</v>
      </c>
      <c r="C21" s="88" t="s">
        <v>316</v>
      </c>
      <c r="D21" s="89">
        <v>1920</v>
      </c>
      <c r="E21" s="89">
        <v>384</v>
      </c>
      <c r="F21" s="89">
        <v>2304</v>
      </c>
      <c r="G21" s="90">
        <v>40390650</v>
      </c>
      <c r="H21" s="88" t="s">
        <v>299</v>
      </c>
      <c r="I21" s="91" t="s">
        <v>315</v>
      </c>
      <c r="J21" s="92">
        <v>0.2</v>
      </c>
      <c r="K21" s="93">
        <v>2</v>
      </c>
      <c r="L21" s="94">
        <v>44124</v>
      </c>
      <c r="M21" s="94">
        <v>44120</v>
      </c>
    </row>
    <row r="22" spans="1:13" ht="14.45" x14ac:dyDescent="0.3">
      <c r="A22" s="87">
        <v>14</v>
      </c>
      <c r="B22" s="47" t="s">
        <v>295</v>
      </c>
      <c r="C22" s="88" t="s">
        <v>296</v>
      </c>
      <c r="D22" s="89">
        <v>833.33333333333337</v>
      </c>
      <c r="E22" s="89">
        <v>166.66666666666663</v>
      </c>
      <c r="F22" s="89">
        <v>1000</v>
      </c>
      <c r="G22" s="90">
        <v>14395134</v>
      </c>
      <c r="H22" s="88" t="s">
        <v>281</v>
      </c>
      <c r="I22" s="91" t="s">
        <v>282</v>
      </c>
      <c r="J22" s="92">
        <v>0.2</v>
      </c>
      <c r="K22" s="93">
        <v>2</v>
      </c>
      <c r="L22" s="94">
        <v>44132</v>
      </c>
      <c r="M22" s="94">
        <v>44105</v>
      </c>
    </row>
    <row r="23" spans="1:13" ht="14.45" x14ac:dyDescent="0.3">
      <c r="A23" s="87">
        <v>15</v>
      </c>
      <c r="B23" s="47" t="s">
        <v>304</v>
      </c>
      <c r="C23" s="88" t="s">
        <v>305</v>
      </c>
      <c r="D23" s="89">
        <v>1000</v>
      </c>
      <c r="E23" s="89">
        <v>200</v>
      </c>
      <c r="F23" s="89">
        <v>1200</v>
      </c>
      <c r="G23" s="90">
        <v>18738256</v>
      </c>
      <c r="H23" s="88" t="s">
        <v>300</v>
      </c>
      <c r="I23" s="91" t="s">
        <v>182</v>
      </c>
      <c r="J23" s="92">
        <v>0.2</v>
      </c>
      <c r="K23" s="93">
        <v>2</v>
      </c>
      <c r="L23" s="94">
        <v>44132</v>
      </c>
      <c r="M23" s="94">
        <v>44126</v>
      </c>
    </row>
    <row r="24" spans="1:13" ht="14.45" x14ac:dyDescent="0.3">
      <c r="A24" s="87">
        <v>16</v>
      </c>
      <c r="B24" s="47" t="s">
        <v>297</v>
      </c>
      <c r="C24" s="88" t="s">
        <v>288</v>
      </c>
      <c r="D24" s="89">
        <v>199.99999999999997</v>
      </c>
      <c r="E24" s="89">
        <v>20.000000000000028</v>
      </c>
      <c r="F24" s="89">
        <v>220</v>
      </c>
      <c r="G24" s="90">
        <v>1085466</v>
      </c>
      <c r="H24" s="88" t="s">
        <v>46</v>
      </c>
      <c r="I24" s="91" t="s">
        <v>47</v>
      </c>
      <c r="J24" s="92">
        <v>0.1</v>
      </c>
      <c r="K24" s="93">
        <v>3</v>
      </c>
      <c r="L24" s="94">
        <v>44106</v>
      </c>
      <c r="M24" s="94">
        <v>44106</v>
      </c>
    </row>
    <row r="25" spans="1:13" ht="14.45" x14ac:dyDescent="0.3">
      <c r="A25" s="87">
        <v>17</v>
      </c>
      <c r="B25" s="47" t="s">
        <v>297</v>
      </c>
      <c r="C25" s="88" t="s">
        <v>288</v>
      </c>
      <c r="D25" s="89">
        <v>199.99999999999997</v>
      </c>
      <c r="E25" s="89">
        <v>20.000000000000028</v>
      </c>
      <c r="F25" s="89">
        <v>220</v>
      </c>
      <c r="G25" s="90">
        <v>1085466</v>
      </c>
      <c r="H25" s="88" t="s">
        <v>46</v>
      </c>
      <c r="I25" s="91" t="s">
        <v>47</v>
      </c>
      <c r="J25" s="92">
        <v>0.1</v>
      </c>
      <c r="K25" s="93">
        <v>3</v>
      </c>
      <c r="L25" s="94">
        <v>44110</v>
      </c>
      <c r="M25" s="94">
        <v>44110</v>
      </c>
    </row>
    <row r="26" spans="1:13" ht="14.45" x14ac:dyDescent="0.3">
      <c r="A26" s="87">
        <v>18</v>
      </c>
      <c r="B26" s="47" t="s">
        <v>332</v>
      </c>
      <c r="C26" s="88" t="s">
        <v>290</v>
      </c>
      <c r="D26" s="89">
        <v>416.5</v>
      </c>
      <c r="E26" s="89">
        <v>83.300000000000011</v>
      </c>
      <c r="F26" s="89">
        <v>499.8</v>
      </c>
      <c r="G26" s="90">
        <v>3332162</v>
      </c>
      <c r="H26" s="88" t="s">
        <v>68</v>
      </c>
      <c r="I26" s="91" t="s">
        <v>76</v>
      </c>
      <c r="J26" s="92">
        <v>0.2</v>
      </c>
      <c r="K26" s="93">
        <v>3</v>
      </c>
      <c r="L26" s="94">
        <v>44125</v>
      </c>
      <c r="M26" s="94">
        <v>44104</v>
      </c>
    </row>
    <row r="27" spans="1:13" ht="14.45" x14ac:dyDescent="0.3">
      <c r="A27" s="87">
        <v>19</v>
      </c>
      <c r="B27" s="47" t="s">
        <v>297</v>
      </c>
      <c r="C27" s="88" t="s">
        <v>288</v>
      </c>
      <c r="D27" s="89">
        <v>104.54545454545453</v>
      </c>
      <c r="E27" s="89">
        <v>10.454545454545467</v>
      </c>
      <c r="F27" s="89">
        <v>115</v>
      </c>
      <c r="G27" s="90">
        <v>1085466</v>
      </c>
      <c r="H27" s="88" t="s">
        <v>46</v>
      </c>
      <c r="I27" s="91" t="s">
        <v>47</v>
      </c>
      <c r="J27" s="92">
        <v>0.1</v>
      </c>
      <c r="K27" s="93">
        <v>3</v>
      </c>
      <c r="L27" s="94">
        <v>44120</v>
      </c>
      <c r="M27" s="94">
        <v>44120</v>
      </c>
    </row>
    <row r="28" spans="1:13" ht="14.45" x14ac:dyDescent="0.3">
      <c r="A28" s="87">
        <v>20</v>
      </c>
      <c r="B28" s="47" t="s">
        <v>297</v>
      </c>
      <c r="C28" s="88" t="s">
        <v>288</v>
      </c>
      <c r="D28" s="89">
        <v>29.999999999999996</v>
      </c>
      <c r="E28" s="89">
        <v>3.0000000000000036</v>
      </c>
      <c r="F28" s="89">
        <v>33</v>
      </c>
      <c r="G28" s="90">
        <v>1085466</v>
      </c>
      <c r="H28" s="88" t="s">
        <v>46</v>
      </c>
      <c r="I28" s="91" t="s">
        <v>47</v>
      </c>
      <c r="J28" s="92">
        <v>0.1</v>
      </c>
      <c r="K28" s="93">
        <v>3</v>
      </c>
      <c r="L28" s="94">
        <v>44112</v>
      </c>
      <c r="M28" s="94">
        <v>44112</v>
      </c>
    </row>
    <row r="29" spans="1:13" ht="14.45" x14ac:dyDescent="0.3">
      <c r="A29" s="87">
        <v>21</v>
      </c>
      <c r="B29" s="47" t="s">
        <v>297</v>
      </c>
      <c r="C29" s="88" t="s">
        <v>288</v>
      </c>
      <c r="D29" s="89">
        <v>29.999999999999996</v>
      </c>
      <c r="E29" s="89">
        <v>3.0000000000000036</v>
      </c>
      <c r="F29" s="89">
        <v>33</v>
      </c>
      <c r="G29" s="90">
        <v>1085466</v>
      </c>
      <c r="H29" s="88" t="s">
        <v>46</v>
      </c>
      <c r="I29" s="91" t="s">
        <v>47</v>
      </c>
      <c r="J29" s="92">
        <v>0.1</v>
      </c>
      <c r="K29" s="93">
        <v>3</v>
      </c>
      <c r="L29" s="94">
        <v>44124</v>
      </c>
      <c r="M29" s="94">
        <v>44124</v>
      </c>
    </row>
    <row r="30" spans="1:13" ht="14.45" x14ac:dyDescent="0.3">
      <c r="A30" s="87">
        <v>22</v>
      </c>
      <c r="B30" s="47" t="s">
        <v>327</v>
      </c>
      <c r="C30" s="88" t="s">
        <v>328</v>
      </c>
      <c r="D30" s="89">
        <v>12000</v>
      </c>
      <c r="E30" s="89">
        <v>2400</v>
      </c>
      <c r="F30" s="89">
        <v>14400</v>
      </c>
      <c r="G30" s="90">
        <v>40394796</v>
      </c>
      <c r="H30" s="88" t="s">
        <v>63</v>
      </c>
      <c r="I30" s="91" t="s">
        <v>74</v>
      </c>
      <c r="J30" s="92">
        <v>0.2</v>
      </c>
      <c r="K30" s="93">
        <v>4</v>
      </c>
      <c r="L30" s="94">
        <v>44112</v>
      </c>
      <c r="M30" s="94">
        <v>44111</v>
      </c>
    </row>
    <row r="31" spans="1:13" ht="14.45" x14ac:dyDescent="0.3">
      <c r="A31" s="87">
        <v>23</v>
      </c>
      <c r="B31" s="47" t="s">
        <v>303</v>
      </c>
      <c r="C31" s="88" t="s">
        <v>293</v>
      </c>
      <c r="D31" s="89">
        <v>25478</v>
      </c>
      <c r="E31" s="89">
        <v>5095.5999999999985</v>
      </c>
      <c r="F31" s="89">
        <v>30573.599999999999</v>
      </c>
      <c r="G31" s="90">
        <v>40484537</v>
      </c>
      <c r="H31" s="88" t="s">
        <v>64</v>
      </c>
      <c r="I31" s="91" t="s">
        <v>71</v>
      </c>
      <c r="J31" s="92">
        <v>0.2</v>
      </c>
      <c r="K31" s="93">
        <v>4</v>
      </c>
      <c r="L31" s="94">
        <v>44112</v>
      </c>
      <c r="M31" s="94">
        <v>43830</v>
      </c>
    </row>
    <row r="32" spans="1:13" ht="14.45" x14ac:dyDescent="0.3">
      <c r="A32" s="87">
        <v>24</v>
      </c>
      <c r="B32" s="47" t="s">
        <v>302</v>
      </c>
      <c r="C32" s="88" t="s">
        <v>293</v>
      </c>
      <c r="D32" s="89">
        <v>2530.4</v>
      </c>
      <c r="E32" s="89">
        <v>506.07999999999993</v>
      </c>
      <c r="F32" s="89">
        <v>3036.48</v>
      </c>
      <c r="G32" s="90">
        <v>40484537</v>
      </c>
      <c r="H32" s="88" t="s">
        <v>64</v>
      </c>
      <c r="I32" s="91" t="s">
        <v>71</v>
      </c>
      <c r="J32" s="92">
        <v>0.2</v>
      </c>
      <c r="K32" s="93">
        <v>4</v>
      </c>
      <c r="L32" s="94">
        <v>44118</v>
      </c>
      <c r="M32" s="94">
        <v>43850</v>
      </c>
    </row>
    <row r="33" spans="1:13" ht="14.45" x14ac:dyDescent="0.3">
      <c r="A33" s="87">
        <v>25</v>
      </c>
      <c r="B33" s="47" t="s">
        <v>301</v>
      </c>
      <c r="C33" s="88" t="s">
        <v>293</v>
      </c>
      <c r="D33" s="89">
        <v>14910</v>
      </c>
      <c r="E33" s="89">
        <v>2982</v>
      </c>
      <c r="F33" s="89">
        <v>17892</v>
      </c>
      <c r="G33" s="90">
        <v>40484537</v>
      </c>
      <c r="H33" s="88" t="s">
        <v>64</v>
      </c>
      <c r="I33" s="91" t="s">
        <v>71</v>
      </c>
      <c r="J33" s="92">
        <v>0.2</v>
      </c>
      <c r="K33" s="93">
        <v>4</v>
      </c>
      <c r="L33" s="94">
        <v>44118</v>
      </c>
      <c r="M33" s="94">
        <v>43861</v>
      </c>
    </row>
    <row r="34" spans="1:13" ht="14.45" x14ac:dyDescent="0.3">
      <c r="A34" s="87">
        <v>26</v>
      </c>
      <c r="B34" s="47" t="s">
        <v>308</v>
      </c>
      <c r="C34" s="88" t="s">
        <v>309</v>
      </c>
      <c r="D34" s="89">
        <v>4000</v>
      </c>
      <c r="E34" s="89">
        <v>800</v>
      </c>
      <c r="F34" s="89">
        <v>4800</v>
      </c>
      <c r="G34" s="90">
        <v>40135035</v>
      </c>
      <c r="H34" s="88" t="s">
        <v>310</v>
      </c>
      <c r="I34" s="91" t="s">
        <v>311</v>
      </c>
      <c r="J34" s="92">
        <v>0.2</v>
      </c>
      <c r="K34" s="93">
        <v>1</v>
      </c>
      <c r="L34" s="94">
        <v>44123</v>
      </c>
      <c r="M34" s="94">
        <v>44123</v>
      </c>
    </row>
    <row r="35" spans="1:13" ht="14.45" x14ac:dyDescent="0.3">
      <c r="A35" s="87">
        <v>27</v>
      </c>
      <c r="B35" s="47" t="s">
        <v>317</v>
      </c>
      <c r="C35" s="88" t="s">
        <v>318</v>
      </c>
      <c r="D35" s="89">
        <v>246.63333333333333</v>
      </c>
      <c r="E35" s="89">
        <v>49.326666666666654</v>
      </c>
      <c r="F35" s="89">
        <v>295.95999999999998</v>
      </c>
      <c r="G35" s="90">
        <v>1006474</v>
      </c>
      <c r="H35" s="88" t="s">
        <v>319</v>
      </c>
      <c r="I35" s="91" t="s">
        <v>320</v>
      </c>
      <c r="J35" s="92">
        <v>0.2</v>
      </c>
      <c r="K35" s="93">
        <v>3</v>
      </c>
      <c r="L35" s="94">
        <v>44117</v>
      </c>
      <c r="M35" s="94">
        <v>44118</v>
      </c>
    </row>
    <row r="36" spans="1:13" ht="14.45" x14ac:dyDescent="0.3">
      <c r="A36" s="87">
        <v>28</v>
      </c>
      <c r="B36" s="47" t="s">
        <v>322</v>
      </c>
      <c r="C36" s="88" t="s">
        <v>321</v>
      </c>
      <c r="D36" s="89">
        <v>37.5</v>
      </c>
      <c r="E36" s="89">
        <v>7.5</v>
      </c>
      <c r="F36" s="89">
        <v>45</v>
      </c>
      <c r="G36" s="90">
        <v>1006474</v>
      </c>
      <c r="H36" s="88" t="s">
        <v>319</v>
      </c>
      <c r="I36" s="91" t="s">
        <v>320</v>
      </c>
      <c r="J36" s="92">
        <v>0.2</v>
      </c>
      <c r="K36" s="93">
        <v>3</v>
      </c>
      <c r="L36" s="94">
        <v>44117</v>
      </c>
      <c r="M36" s="94">
        <v>44118</v>
      </c>
    </row>
    <row r="37" spans="1:13" ht="14.45" x14ac:dyDescent="0.3">
      <c r="A37" s="87">
        <v>29</v>
      </c>
      <c r="B37" s="47" t="s">
        <v>323</v>
      </c>
      <c r="C37" s="88" t="s">
        <v>324</v>
      </c>
      <c r="D37" s="89">
        <v>583.33333333333337</v>
      </c>
      <c r="E37" s="89">
        <v>116.66666666666663</v>
      </c>
      <c r="F37" s="89">
        <v>700</v>
      </c>
      <c r="G37" s="90">
        <v>15182141</v>
      </c>
      <c r="H37" s="88" t="s">
        <v>325</v>
      </c>
      <c r="I37" s="91" t="s">
        <v>326</v>
      </c>
      <c r="J37" s="92">
        <v>0.2</v>
      </c>
      <c r="K37" s="93">
        <v>1</v>
      </c>
      <c r="L37" s="94">
        <v>44117</v>
      </c>
      <c r="M37" s="94">
        <v>44117</v>
      </c>
    </row>
    <row r="38" spans="1:13" ht="14.45" x14ac:dyDescent="0.3">
      <c r="A38" s="87">
        <v>30</v>
      </c>
      <c r="B38" s="47" t="s">
        <v>294</v>
      </c>
      <c r="C38" s="88" t="s">
        <v>329</v>
      </c>
      <c r="D38" s="89">
        <v>1097.25</v>
      </c>
      <c r="E38" s="89">
        <v>219.45000000000005</v>
      </c>
      <c r="F38" s="89">
        <v>1316.7</v>
      </c>
      <c r="G38" s="90" t="s">
        <v>148</v>
      </c>
      <c r="H38" s="88" t="s">
        <v>147</v>
      </c>
      <c r="I38" s="91" t="s">
        <v>149</v>
      </c>
      <c r="J38" s="92">
        <v>0.2</v>
      </c>
      <c r="K38" s="93">
        <v>1</v>
      </c>
      <c r="L38" s="94">
        <v>44089</v>
      </c>
      <c r="M38" s="94">
        <v>44089</v>
      </c>
    </row>
    <row r="39" spans="1:13" ht="14.45" x14ac:dyDescent="0.3">
      <c r="A39" s="87">
        <v>31</v>
      </c>
      <c r="B39" s="47" t="s">
        <v>333</v>
      </c>
      <c r="C39" s="88" t="s">
        <v>334</v>
      </c>
      <c r="D39" s="89">
        <v>71.675000000000011</v>
      </c>
      <c r="E39" s="89">
        <v>14.334999999999994</v>
      </c>
      <c r="F39" s="89">
        <v>86.01</v>
      </c>
      <c r="G39" s="90">
        <v>1006474</v>
      </c>
      <c r="H39" s="88" t="s">
        <v>319</v>
      </c>
      <c r="I39" s="91" t="s">
        <v>320</v>
      </c>
      <c r="J39" s="92">
        <v>0.2</v>
      </c>
      <c r="K39" s="93">
        <v>1</v>
      </c>
      <c r="L39" s="94">
        <v>44130</v>
      </c>
      <c r="M39" s="94">
        <v>44130</v>
      </c>
    </row>
    <row r="40" spans="1:13" ht="14.45" x14ac:dyDescent="0.3">
      <c r="A40" t="s">
        <v>9</v>
      </c>
      <c r="D40" s="45">
        <f>SUBTOTAL(109,Tableau57[M_HT])</f>
        <v>161752.84545454543</v>
      </c>
      <c r="E40" s="45">
        <f>SUBTOTAL(109,Tableau57[TVA])</f>
        <v>32290.514545454549</v>
      </c>
      <c r="F40" s="45">
        <f>SUBTOTAL(109,Tableau57[M_TTC])</f>
        <v>194043.36000000002</v>
      </c>
      <c r="M40">
        <f>SUBTOTAL(103,Tableau57[DATE_FAC])</f>
        <v>31</v>
      </c>
    </row>
    <row r="41" spans="1:13" ht="14.45" x14ac:dyDescent="0.3">
      <c r="B41" s="11" t="e">
        <f>IF(#REF!-Tableau57[[#Totals],[DATE_FAC]]=0,"OK","Vérifier colonne Num_Ordre!")</f>
        <v>#REF!</v>
      </c>
    </row>
    <row r="42" spans="1:13" ht="14.45" x14ac:dyDescent="0.3"/>
    <row r="43" spans="1:13" ht="14.45" x14ac:dyDescent="0.3">
      <c r="B43"/>
    </row>
    <row r="44" spans="1:13" ht="14.45" x14ac:dyDescent="0.3">
      <c r="B44"/>
    </row>
    <row r="45" spans="1:13" ht="14.45" x14ac:dyDescent="0.3">
      <c r="B45"/>
    </row>
    <row r="46" spans="1:13" ht="14.45" x14ac:dyDescent="0.3">
      <c r="B46"/>
    </row>
    <row r="47" spans="1:13" ht="14.45" x14ac:dyDescent="0.3">
      <c r="B47"/>
    </row>
    <row r="48" spans="1:13" ht="14.45" x14ac:dyDescent="0.3">
      <c r="B48"/>
    </row>
    <row r="49" spans="2:2" ht="14.45" x14ac:dyDescent="0.3">
      <c r="B49"/>
    </row>
    <row r="50" spans="2:2" ht="14.45" x14ac:dyDescent="0.3">
      <c r="B50"/>
    </row>
    <row r="51" spans="2:2" ht="14.45" x14ac:dyDescent="0.3">
      <c r="B51"/>
    </row>
    <row r="52" spans="2:2" ht="14.45" x14ac:dyDescent="0.3">
      <c r="B52"/>
    </row>
    <row r="53" spans="2:2" ht="14.45" x14ac:dyDescent="0.3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ht="15" customHeight="1" x14ac:dyDescent="0.25">
      <c r="B240"/>
    </row>
    <row r="241" spans="2:2" ht="15" customHeight="1" x14ac:dyDescent="0.25">
      <c r="B241"/>
    </row>
    <row r="242" spans="2:2" ht="15" customHeight="1" x14ac:dyDescent="0.25">
      <c r="B242"/>
    </row>
    <row r="243" spans="2:2" ht="15" customHeight="1" x14ac:dyDescent="0.25">
      <c r="B243"/>
    </row>
    <row r="244" spans="2:2" ht="15" customHeight="1" x14ac:dyDescent="0.25">
      <c r="B244"/>
    </row>
    <row r="245" spans="2:2" ht="15" customHeight="1" x14ac:dyDescent="0.25">
      <c r="B245"/>
    </row>
    <row r="246" spans="2:2" ht="15" customHeight="1" x14ac:dyDescent="0.25">
      <c r="B246"/>
    </row>
    <row r="247" spans="2:2" ht="15" customHeight="1" x14ac:dyDescent="0.25">
      <c r="B247"/>
    </row>
    <row r="248" spans="2:2" ht="15" customHeight="1" x14ac:dyDescent="0.25">
      <c r="B248"/>
    </row>
    <row r="249" spans="2:2" ht="15" customHeight="1" x14ac:dyDescent="0.25">
      <c r="B249"/>
    </row>
    <row r="250" spans="2:2" ht="15" customHeight="1" x14ac:dyDescent="0.25">
      <c r="B250"/>
    </row>
    <row r="251" spans="2:2" ht="15" customHeight="1" x14ac:dyDescent="0.25">
      <c r="B251"/>
    </row>
    <row r="252" spans="2:2" ht="15" customHeight="1" x14ac:dyDescent="0.25">
      <c r="B252"/>
    </row>
    <row r="253" spans="2:2" ht="15" customHeight="1" x14ac:dyDescent="0.25">
      <c r="B253"/>
    </row>
    <row r="254" spans="2:2" ht="15" customHeight="1" x14ac:dyDescent="0.25">
      <c r="B254"/>
    </row>
    <row r="255" spans="2:2" ht="15" customHeight="1" x14ac:dyDescent="0.25">
      <c r="B255"/>
    </row>
    <row r="256" spans="2:2" ht="15" customHeight="1" x14ac:dyDescent="0.25">
      <c r="B256"/>
    </row>
    <row r="257" spans="2:2" ht="15" customHeight="1" x14ac:dyDescent="0.25">
      <c r="B257"/>
    </row>
    <row r="258" spans="2:2" ht="15" customHeight="1" x14ac:dyDescent="0.25">
      <c r="B258"/>
    </row>
    <row r="259" spans="2:2" ht="15" customHeight="1" x14ac:dyDescent="0.25">
      <c r="B259"/>
    </row>
    <row r="260" spans="2:2" ht="15" customHeight="1" x14ac:dyDescent="0.25">
      <c r="B260"/>
    </row>
    <row r="261" spans="2:2" ht="15" customHeight="1" x14ac:dyDescent="0.25">
      <c r="B261"/>
    </row>
    <row r="262" spans="2:2" ht="15" customHeight="1" x14ac:dyDescent="0.25">
      <c r="B262"/>
    </row>
    <row r="263" spans="2:2" ht="15" customHeight="1" x14ac:dyDescent="0.25">
      <c r="B263"/>
    </row>
    <row r="264" spans="2:2" ht="15" customHeight="1" x14ac:dyDescent="0.25">
      <c r="B264"/>
    </row>
    <row r="265" spans="2:2" ht="15" customHeight="1" x14ac:dyDescent="0.25">
      <c r="B265"/>
    </row>
    <row r="266" spans="2:2" ht="15" customHeight="1" x14ac:dyDescent="0.25">
      <c r="B266"/>
    </row>
    <row r="267" spans="2:2" ht="15" customHeight="1" x14ac:dyDescent="0.25">
      <c r="B267"/>
    </row>
    <row r="268" spans="2:2" ht="15" customHeight="1" x14ac:dyDescent="0.25">
      <c r="B268"/>
    </row>
    <row r="269" spans="2:2" ht="15" customHeight="1" x14ac:dyDescent="0.25">
      <c r="B269"/>
    </row>
    <row r="270" spans="2:2" ht="15" customHeight="1" x14ac:dyDescent="0.25">
      <c r="B270"/>
    </row>
    <row r="271" spans="2:2" ht="15" customHeight="1" x14ac:dyDescent="0.25">
      <c r="B271"/>
    </row>
    <row r="272" spans="2:2" ht="15" customHeight="1" x14ac:dyDescent="0.25">
      <c r="B272"/>
    </row>
    <row r="273" spans="2:2" ht="15" customHeight="1" x14ac:dyDescent="0.25">
      <c r="B273"/>
    </row>
    <row r="274" spans="2:2" ht="15" customHeight="1" x14ac:dyDescent="0.25">
      <c r="B274"/>
    </row>
    <row r="275" spans="2:2" ht="15" customHeight="1" x14ac:dyDescent="0.25">
      <c r="B275"/>
    </row>
    <row r="276" spans="2:2" ht="15" customHeight="1" x14ac:dyDescent="0.25">
      <c r="B276"/>
    </row>
    <row r="277" spans="2:2" ht="15" customHeight="1" x14ac:dyDescent="0.25">
      <c r="B277"/>
    </row>
    <row r="278" spans="2:2" ht="15" customHeight="1" x14ac:dyDescent="0.25">
      <c r="B278"/>
    </row>
    <row r="279" spans="2:2" ht="15" customHeight="1" x14ac:dyDescent="0.25">
      <c r="B279"/>
    </row>
    <row r="280" spans="2:2" ht="15" customHeight="1" x14ac:dyDescent="0.25">
      <c r="B280"/>
    </row>
    <row r="281" spans="2:2" ht="15" customHeight="1" x14ac:dyDescent="0.25">
      <c r="B281"/>
    </row>
    <row r="282" spans="2:2" ht="15" customHeight="1" x14ac:dyDescent="0.25">
      <c r="B282"/>
    </row>
    <row r="283" spans="2:2" ht="15" customHeight="1" x14ac:dyDescent="0.25">
      <c r="B283"/>
    </row>
    <row r="284" spans="2:2" ht="15" customHeight="1" x14ac:dyDescent="0.25">
      <c r="B284"/>
    </row>
    <row r="285" spans="2:2" ht="15" customHeight="1" x14ac:dyDescent="0.25">
      <c r="B285"/>
    </row>
    <row r="286" spans="2:2" ht="15" customHeight="1" x14ac:dyDescent="0.25">
      <c r="B286"/>
    </row>
    <row r="287" spans="2:2" ht="15" customHeight="1" x14ac:dyDescent="0.25">
      <c r="B287"/>
    </row>
    <row r="288" spans="2:2" ht="15" customHeight="1" x14ac:dyDescent="0.25">
      <c r="B288"/>
    </row>
    <row r="289" spans="2:2" ht="15" customHeight="1" x14ac:dyDescent="0.25">
      <c r="B289"/>
    </row>
    <row r="290" spans="2:2" ht="15" customHeight="1" x14ac:dyDescent="0.25">
      <c r="B290"/>
    </row>
    <row r="291" spans="2:2" ht="15" customHeight="1" x14ac:dyDescent="0.25">
      <c r="B291"/>
    </row>
    <row r="292" spans="2:2" ht="15" customHeight="1" x14ac:dyDescent="0.25">
      <c r="B292"/>
    </row>
    <row r="293" spans="2:2" ht="15" customHeight="1" x14ac:dyDescent="0.25">
      <c r="B293"/>
    </row>
    <row r="294" spans="2:2" ht="15" customHeight="1" x14ac:dyDescent="0.25">
      <c r="B294"/>
    </row>
    <row r="295" spans="2:2" ht="15" customHeight="1" x14ac:dyDescent="0.25">
      <c r="B295"/>
    </row>
    <row r="296" spans="2:2" ht="15" customHeight="1" x14ac:dyDescent="0.25">
      <c r="B296"/>
    </row>
    <row r="297" spans="2:2" ht="15" customHeight="1" x14ac:dyDescent="0.25">
      <c r="B297"/>
    </row>
    <row r="298" spans="2:2" ht="15" customHeight="1" x14ac:dyDescent="0.25">
      <c r="B298"/>
    </row>
    <row r="299" spans="2:2" ht="15" customHeight="1" x14ac:dyDescent="0.25">
      <c r="B299"/>
    </row>
    <row r="300" spans="2:2" ht="15" customHeight="1" x14ac:dyDescent="0.25">
      <c r="B300"/>
    </row>
    <row r="301" spans="2:2" ht="15" customHeight="1" x14ac:dyDescent="0.25">
      <c r="B301"/>
    </row>
    <row r="302" spans="2:2" ht="15" customHeight="1" x14ac:dyDescent="0.25">
      <c r="B302"/>
    </row>
    <row r="303" spans="2:2" ht="15" customHeight="1" x14ac:dyDescent="0.25">
      <c r="B303"/>
    </row>
    <row r="304" spans="2:2" ht="15" customHeight="1" x14ac:dyDescent="0.25">
      <c r="B304"/>
    </row>
    <row r="305" spans="2:2" ht="15" customHeight="1" x14ac:dyDescent="0.25">
      <c r="B305"/>
    </row>
    <row r="306" spans="2:2" ht="15" customHeight="1" x14ac:dyDescent="0.25">
      <c r="B306"/>
    </row>
    <row r="307" spans="2:2" ht="15" customHeight="1" x14ac:dyDescent="0.25">
      <c r="B307"/>
    </row>
    <row r="308" spans="2:2" ht="15" customHeight="1" x14ac:dyDescent="0.25">
      <c r="B308"/>
    </row>
    <row r="309" spans="2:2" ht="15" customHeight="1" x14ac:dyDescent="0.25">
      <c r="B309"/>
    </row>
    <row r="310" spans="2:2" ht="15" customHeight="1" x14ac:dyDescent="0.25">
      <c r="B310"/>
    </row>
    <row r="311" spans="2:2" ht="15" customHeight="1" x14ac:dyDescent="0.25">
      <c r="B311"/>
    </row>
    <row r="312" spans="2:2" ht="15" customHeight="1" x14ac:dyDescent="0.25">
      <c r="B312"/>
    </row>
    <row r="313" spans="2:2" ht="15" customHeight="1" x14ac:dyDescent="0.25">
      <c r="B313"/>
    </row>
    <row r="314" spans="2:2" ht="15" customHeight="1" x14ac:dyDescent="0.25">
      <c r="B314"/>
    </row>
    <row r="315" spans="2:2" ht="15" customHeight="1" x14ac:dyDescent="0.25">
      <c r="B315"/>
    </row>
    <row r="316" spans="2:2" ht="15" customHeight="1" x14ac:dyDescent="0.25">
      <c r="B316"/>
    </row>
    <row r="317" spans="2:2" ht="15" customHeight="1" x14ac:dyDescent="0.25">
      <c r="B317"/>
    </row>
    <row r="318" spans="2:2" ht="15" customHeight="1" x14ac:dyDescent="0.25">
      <c r="B318"/>
    </row>
    <row r="319" spans="2:2" ht="15" customHeight="1" x14ac:dyDescent="0.25">
      <c r="B319"/>
    </row>
    <row r="320" spans="2:2" ht="15" customHeight="1" x14ac:dyDescent="0.25">
      <c r="B320"/>
    </row>
    <row r="321" spans="2:2" ht="15" customHeight="1" x14ac:dyDescent="0.25">
      <c r="B321"/>
    </row>
    <row r="322" spans="2:2" ht="15" customHeight="1" x14ac:dyDescent="0.25">
      <c r="B322"/>
    </row>
    <row r="323" spans="2:2" ht="15" customHeight="1" x14ac:dyDescent="0.25">
      <c r="B323"/>
    </row>
    <row r="324" spans="2:2" ht="15" customHeight="1" x14ac:dyDescent="0.25">
      <c r="B324"/>
    </row>
    <row r="325" spans="2:2" ht="15" customHeight="1" x14ac:dyDescent="0.25">
      <c r="B325"/>
    </row>
    <row r="326" spans="2:2" ht="15" customHeight="1" x14ac:dyDescent="0.25">
      <c r="B326"/>
    </row>
    <row r="327" spans="2:2" ht="15" customHeight="1" x14ac:dyDescent="0.25">
      <c r="B327"/>
    </row>
    <row r="328" spans="2:2" ht="15" customHeight="1" x14ac:dyDescent="0.25">
      <c r="B328"/>
    </row>
    <row r="329" spans="2:2" ht="15" customHeight="1" x14ac:dyDescent="0.25">
      <c r="B329"/>
    </row>
    <row r="330" spans="2:2" ht="15" customHeight="1" x14ac:dyDescent="0.25">
      <c r="B330"/>
    </row>
    <row r="331" spans="2:2" ht="15" customHeight="1" x14ac:dyDescent="0.25">
      <c r="B331"/>
    </row>
    <row r="332" spans="2:2" ht="15" customHeight="1" x14ac:dyDescent="0.25">
      <c r="B332"/>
    </row>
    <row r="333" spans="2:2" ht="15" customHeight="1" x14ac:dyDescent="0.25">
      <c r="B333"/>
    </row>
    <row r="334" spans="2:2" ht="15" customHeight="1" x14ac:dyDescent="0.25">
      <c r="B334"/>
    </row>
    <row r="335" spans="2:2" ht="15" customHeight="1" x14ac:dyDescent="0.25">
      <c r="B335"/>
    </row>
    <row r="336" spans="2:2" ht="15" customHeight="1" x14ac:dyDescent="0.25">
      <c r="B336"/>
    </row>
    <row r="337" spans="2:2" ht="15" customHeight="1" x14ac:dyDescent="0.25">
      <c r="B337"/>
    </row>
    <row r="338" spans="2:2" ht="15" customHeight="1" x14ac:dyDescent="0.25">
      <c r="B338"/>
    </row>
    <row r="339" spans="2:2" ht="15" customHeight="1" x14ac:dyDescent="0.25">
      <c r="B339"/>
    </row>
    <row r="340" spans="2:2" ht="15" customHeight="1" x14ac:dyDescent="0.25">
      <c r="B340"/>
    </row>
    <row r="341" spans="2:2" ht="15" customHeight="1" x14ac:dyDescent="0.25">
      <c r="B341"/>
    </row>
    <row r="342" spans="2:2" ht="15" customHeight="1" x14ac:dyDescent="0.25">
      <c r="B342"/>
    </row>
    <row r="343" spans="2:2" ht="15" customHeight="1" x14ac:dyDescent="0.25">
      <c r="B343"/>
    </row>
    <row r="344" spans="2:2" ht="15" customHeight="1" x14ac:dyDescent="0.25">
      <c r="B344"/>
    </row>
    <row r="345" spans="2:2" ht="15" customHeight="1" x14ac:dyDescent="0.25">
      <c r="B345"/>
    </row>
    <row r="346" spans="2:2" ht="15" customHeight="1" x14ac:dyDescent="0.25">
      <c r="B346"/>
    </row>
    <row r="347" spans="2:2" ht="15" hidden="1" customHeight="1" x14ac:dyDescent="0.3">
      <c r="B347"/>
    </row>
    <row r="348" spans="2:2" ht="15" hidden="1" customHeight="1" x14ac:dyDescent="0.3">
      <c r="B348"/>
    </row>
    <row r="349" spans="2:2" ht="15" hidden="1" customHeight="1" x14ac:dyDescent="0.3">
      <c r="B349"/>
    </row>
    <row r="350" spans="2:2" ht="15" customHeight="1" x14ac:dyDescent="0.25">
      <c r="B350"/>
    </row>
    <row r="351" spans="2:2" ht="15" customHeight="1" x14ac:dyDescent="0.25">
      <c r="B351"/>
    </row>
    <row r="352" spans="2:2" ht="15" customHeight="1" x14ac:dyDescent="0.25">
      <c r="B352"/>
    </row>
    <row r="353" spans="2:2" ht="15" customHeight="1" x14ac:dyDescent="0.25">
      <c r="B353"/>
    </row>
    <row r="354" spans="2:2" ht="15" customHeight="1" x14ac:dyDescent="0.25">
      <c r="B354"/>
    </row>
    <row r="355" spans="2:2" ht="15" customHeight="1" x14ac:dyDescent="0.25">
      <c r="B355"/>
    </row>
    <row r="356" spans="2:2" ht="15" customHeight="1" x14ac:dyDescent="0.25">
      <c r="B356"/>
    </row>
    <row r="357" spans="2:2" ht="15" customHeight="1" x14ac:dyDescent="0.25">
      <c r="B357"/>
    </row>
    <row r="358" spans="2:2" ht="15" customHeight="1" x14ac:dyDescent="0.25">
      <c r="B358"/>
    </row>
    <row r="359" spans="2:2" ht="15" customHeight="1" x14ac:dyDescent="0.25">
      <c r="B359"/>
    </row>
    <row r="360" spans="2:2" ht="15" customHeight="1" x14ac:dyDescent="0.25">
      <c r="B360"/>
    </row>
    <row r="361" spans="2:2" ht="15" customHeight="1" x14ac:dyDescent="0.25">
      <c r="B361"/>
    </row>
    <row r="362" spans="2:2" ht="15" customHeight="1" x14ac:dyDescent="0.25">
      <c r="B362"/>
    </row>
    <row r="363" spans="2:2" ht="15" customHeight="1" x14ac:dyDescent="0.25">
      <c r="B363"/>
    </row>
    <row r="364" spans="2:2" ht="15" customHeight="1" x14ac:dyDescent="0.25">
      <c r="B364"/>
    </row>
    <row r="365" spans="2:2" ht="15" customHeight="1" x14ac:dyDescent="0.25">
      <c r="B365"/>
    </row>
    <row r="366" spans="2:2" ht="15" customHeight="1" x14ac:dyDescent="0.25">
      <c r="B366"/>
    </row>
    <row r="367" spans="2:2" ht="15" customHeight="1" x14ac:dyDescent="0.25">
      <c r="B367"/>
    </row>
    <row r="368" spans="2:2" ht="15" customHeight="1" x14ac:dyDescent="0.25">
      <c r="B368"/>
    </row>
    <row r="369" spans="2:2" ht="15" customHeight="1" x14ac:dyDescent="0.25">
      <c r="B369"/>
    </row>
    <row r="370" spans="2:2" ht="15" customHeight="1" x14ac:dyDescent="0.25">
      <c r="B370"/>
    </row>
    <row r="371" spans="2:2" ht="15" customHeight="1" x14ac:dyDescent="0.25">
      <c r="B371"/>
    </row>
    <row r="372" spans="2:2" ht="15" customHeight="1" x14ac:dyDescent="0.25">
      <c r="B372"/>
    </row>
    <row r="373" spans="2:2" ht="15" customHeight="1" x14ac:dyDescent="0.25">
      <c r="B373"/>
    </row>
    <row r="374" spans="2:2" ht="15" customHeight="1" x14ac:dyDescent="0.25">
      <c r="B374"/>
    </row>
    <row r="375" spans="2:2" ht="15" customHeight="1" x14ac:dyDescent="0.25">
      <c r="B375"/>
    </row>
    <row r="376" spans="2:2" ht="15" customHeight="1" x14ac:dyDescent="0.25">
      <c r="B376"/>
    </row>
    <row r="377" spans="2:2" ht="15" customHeight="1" x14ac:dyDescent="0.25">
      <c r="B377"/>
    </row>
    <row r="378" spans="2:2" ht="15" customHeight="1" x14ac:dyDescent="0.25">
      <c r="B378"/>
    </row>
    <row r="379" spans="2:2" ht="15" customHeight="1" x14ac:dyDescent="0.25">
      <c r="B379"/>
    </row>
    <row r="380" spans="2:2" ht="15" customHeight="1" x14ac:dyDescent="0.25">
      <c r="B380"/>
    </row>
    <row r="381" spans="2:2" ht="15" customHeight="1" x14ac:dyDescent="0.25">
      <c r="B381"/>
    </row>
    <row r="382" spans="2:2" ht="15" customHeight="1" x14ac:dyDescent="0.25">
      <c r="B382"/>
    </row>
    <row r="383" spans="2:2" ht="15" customHeight="1" x14ac:dyDescent="0.25">
      <c r="B383"/>
    </row>
    <row r="384" spans="2:2" ht="15" customHeight="1" x14ac:dyDescent="0.25">
      <c r="B384"/>
    </row>
    <row r="385" spans="2:2" ht="15" customHeight="1" x14ac:dyDescent="0.25">
      <c r="B385"/>
    </row>
    <row r="386" spans="2:2" ht="15" customHeight="1" x14ac:dyDescent="0.25">
      <c r="B386"/>
    </row>
    <row r="387" spans="2:2" ht="15" customHeight="1" x14ac:dyDescent="0.25">
      <c r="B387"/>
    </row>
    <row r="388" spans="2:2" ht="15" customHeight="1" x14ac:dyDescent="0.25">
      <c r="B388"/>
    </row>
    <row r="389" spans="2:2" ht="15" customHeight="1" x14ac:dyDescent="0.25">
      <c r="B389"/>
    </row>
    <row r="390" spans="2:2" ht="15" customHeight="1" x14ac:dyDescent="0.25">
      <c r="B390"/>
    </row>
    <row r="391" spans="2:2" ht="15" customHeight="1" x14ac:dyDescent="0.25">
      <c r="B391"/>
    </row>
    <row r="392" spans="2:2" ht="15" customHeight="1" x14ac:dyDescent="0.25">
      <c r="B392"/>
    </row>
    <row r="393" spans="2:2" ht="15" customHeight="1" x14ac:dyDescent="0.25">
      <c r="B393"/>
    </row>
    <row r="394" spans="2:2" ht="15" customHeight="1" x14ac:dyDescent="0.25">
      <c r="B394"/>
    </row>
    <row r="395" spans="2:2" ht="15" customHeight="1" x14ac:dyDescent="0.25">
      <c r="B395"/>
    </row>
    <row r="396" spans="2:2" ht="15" customHeight="1" x14ac:dyDescent="0.25">
      <c r="B396"/>
    </row>
    <row r="397" spans="2:2" ht="15" customHeight="1" x14ac:dyDescent="0.25">
      <c r="B397"/>
    </row>
    <row r="398" spans="2:2" ht="15" customHeight="1" x14ac:dyDescent="0.25">
      <c r="B398"/>
    </row>
    <row r="399" spans="2:2" ht="15" customHeight="1" x14ac:dyDescent="0.25">
      <c r="B399"/>
    </row>
    <row r="400" spans="2:2" ht="15" customHeight="1" x14ac:dyDescent="0.25">
      <c r="B400"/>
    </row>
    <row r="401" spans="2:2" ht="15" customHeight="1" x14ac:dyDescent="0.25">
      <c r="B401"/>
    </row>
    <row r="402" spans="2:2" ht="15" customHeight="1" x14ac:dyDescent="0.25">
      <c r="B402"/>
    </row>
    <row r="403" spans="2:2" ht="15" customHeight="1" x14ac:dyDescent="0.25">
      <c r="B403"/>
    </row>
    <row r="404" spans="2:2" ht="15" customHeight="1" x14ac:dyDescent="0.25">
      <c r="B404"/>
    </row>
    <row r="405" spans="2:2" ht="15" customHeight="1" x14ac:dyDescent="0.25">
      <c r="B405"/>
    </row>
    <row r="406" spans="2:2" ht="15" customHeight="1" x14ac:dyDescent="0.25">
      <c r="B406"/>
    </row>
    <row r="407" spans="2:2" ht="15" hidden="1" customHeight="1" x14ac:dyDescent="0.3">
      <c r="B407"/>
    </row>
    <row r="408" spans="2:2" ht="15" hidden="1" customHeight="1" x14ac:dyDescent="0.3">
      <c r="B408"/>
    </row>
    <row r="409" spans="2:2" ht="15" hidden="1" customHeight="1" x14ac:dyDescent="0.3">
      <c r="B409"/>
    </row>
    <row r="410" spans="2:2" ht="15" hidden="1" customHeight="1" x14ac:dyDescent="0.3">
      <c r="B410"/>
    </row>
    <row r="411" spans="2:2" ht="15" hidden="1" customHeight="1" x14ac:dyDescent="0.3">
      <c r="B411"/>
    </row>
    <row r="412" spans="2:2" ht="15" hidden="1" customHeight="1" x14ac:dyDescent="0.3">
      <c r="B412"/>
    </row>
    <row r="413" spans="2:2" ht="15" hidden="1" customHeight="1" x14ac:dyDescent="0.3">
      <c r="B413"/>
    </row>
    <row r="414" spans="2:2" ht="15" hidden="1" customHeight="1" x14ac:dyDescent="0.3">
      <c r="B414"/>
    </row>
    <row r="415" spans="2:2" ht="15" hidden="1" customHeight="1" x14ac:dyDescent="0.3">
      <c r="B415"/>
    </row>
    <row r="416" spans="2:2" ht="15" hidden="1" customHeight="1" x14ac:dyDescent="0.3">
      <c r="B416"/>
    </row>
    <row r="417" spans="2:2" ht="15" customHeight="1" x14ac:dyDescent="0.25">
      <c r="B417"/>
    </row>
    <row r="418" spans="2:2" ht="15" customHeight="1" x14ac:dyDescent="0.25">
      <c r="B418"/>
    </row>
    <row r="419" spans="2:2" ht="15" customHeight="1" x14ac:dyDescent="0.25">
      <c r="B419"/>
    </row>
    <row r="420" spans="2:2" ht="15" customHeight="1" x14ac:dyDescent="0.25">
      <c r="B420"/>
    </row>
    <row r="421" spans="2:2" ht="15" customHeight="1" x14ac:dyDescent="0.25">
      <c r="B421"/>
    </row>
    <row r="422" spans="2:2" ht="15" customHeight="1" x14ac:dyDescent="0.25">
      <c r="B422"/>
    </row>
    <row r="423" spans="2:2" ht="15" customHeight="1" x14ac:dyDescent="0.25">
      <c r="B423"/>
    </row>
    <row r="424" spans="2:2" ht="15" customHeight="1" x14ac:dyDescent="0.25">
      <c r="B424"/>
    </row>
    <row r="425" spans="2:2" ht="15" hidden="1" customHeight="1" x14ac:dyDescent="0.3">
      <c r="B425"/>
    </row>
    <row r="426" spans="2:2" ht="15" hidden="1" customHeight="1" x14ac:dyDescent="0.3">
      <c r="B426"/>
    </row>
    <row r="427" spans="2:2" ht="15" hidden="1" customHeight="1" x14ac:dyDescent="0.3">
      <c r="B427"/>
    </row>
    <row r="428" spans="2:2" ht="15" hidden="1" customHeight="1" x14ac:dyDescent="0.3">
      <c r="B428"/>
    </row>
    <row r="429" spans="2:2" ht="15" hidden="1" customHeight="1" x14ac:dyDescent="0.3">
      <c r="B429"/>
    </row>
    <row r="430" spans="2:2" ht="15" hidden="1" customHeight="1" x14ac:dyDescent="0.3">
      <c r="B430"/>
    </row>
    <row r="431" spans="2:2" ht="15" hidden="1" customHeight="1" x14ac:dyDescent="0.3">
      <c r="B431"/>
    </row>
    <row r="432" spans="2:2" ht="15" hidden="1" customHeight="1" x14ac:dyDescent="0.3">
      <c r="B432"/>
    </row>
    <row r="433" spans="2:2" ht="15" hidden="1" customHeight="1" x14ac:dyDescent="0.3">
      <c r="B433"/>
    </row>
    <row r="434" spans="2:2" ht="15" hidden="1" customHeight="1" x14ac:dyDescent="0.3">
      <c r="B434"/>
    </row>
    <row r="435" spans="2:2" ht="15" hidden="1" customHeight="1" x14ac:dyDescent="0.3">
      <c r="B435"/>
    </row>
    <row r="436" spans="2:2" ht="15" hidden="1" customHeight="1" x14ac:dyDescent="0.3">
      <c r="B436"/>
    </row>
    <row r="437" spans="2:2" ht="15" hidden="1" customHeight="1" x14ac:dyDescent="0.3">
      <c r="B437"/>
    </row>
    <row r="438" spans="2:2" ht="15" hidden="1" customHeight="1" x14ac:dyDescent="0.3">
      <c r="B438"/>
    </row>
    <row r="439" spans="2:2" ht="15" hidden="1" customHeight="1" x14ac:dyDescent="0.3">
      <c r="B439"/>
    </row>
    <row r="440" spans="2:2" ht="15" hidden="1" customHeight="1" x14ac:dyDescent="0.3">
      <c r="B440"/>
    </row>
    <row r="441" spans="2:2" ht="15" hidden="1" customHeight="1" x14ac:dyDescent="0.3">
      <c r="B441"/>
    </row>
    <row r="442" spans="2:2" ht="15" hidden="1" customHeight="1" x14ac:dyDescent="0.3">
      <c r="B442"/>
    </row>
    <row r="443" spans="2:2" ht="15" hidden="1" customHeight="1" x14ac:dyDescent="0.3">
      <c r="B443"/>
    </row>
    <row r="444" spans="2:2" ht="15" hidden="1" customHeight="1" x14ac:dyDescent="0.3">
      <c r="B444"/>
    </row>
    <row r="445" spans="2:2" ht="15" hidden="1" customHeight="1" x14ac:dyDescent="0.3">
      <c r="B445"/>
    </row>
    <row r="446" spans="2:2" ht="15" hidden="1" customHeight="1" x14ac:dyDescent="0.3">
      <c r="B446"/>
    </row>
    <row r="447" spans="2:2" ht="15" hidden="1" customHeight="1" x14ac:dyDescent="0.3">
      <c r="B447"/>
    </row>
    <row r="448" spans="2:2" ht="15" hidden="1" customHeight="1" x14ac:dyDescent="0.3">
      <c r="B448"/>
    </row>
    <row r="449" spans="2:2" ht="15" hidden="1" customHeight="1" x14ac:dyDescent="0.3">
      <c r="B449"/>
    </row>
    <row r="450" spans="2:2" ht="15" hidden="1" customHeight="1" x14ac:dyDescent="0.3">
      <c r="B450"/>
    </row>
    <row r="451" spans="2:2" ht="15" hidden="1" customHeight="1" x14ac:dyDescent="0.3">
      <c r="B451"/>
    </row>
    <row r="452" spans="2:2" ht="15" hidden="1" customHeight="1" x14ac:dyDescent="0.3">
      <c r="B452"/>
    </row>
    <row r="453" spans="2:2" ht="15" hidden="1" customHeight="1" x14ac:dyDescent="0.3">
      <c r="B453"/>
    </row>
    <row r="454" spans="2:2" ht="15" hidden="1" customHeight="1" x14ac:dyDescent="0.3">
      <c r="B454"/>
    </row>
    <row r="455" spans="2:2" ht="15" hidden="1" customHeight="1" x14ac:dyDescent="0.3">
      <c r="B455"/>
    </row>
    <row r="456" spans="2:2" ht="15" hidden="1" customHeight="1" x14ac:dyDescent="0.3">
      <c r="B456"/>
    </row>
    <row r="457" spans="2:2" ht="15" hidden="1" customHeight="1" x14ac:dyDescent="0.3">
      <c r="B457"/>
    </row>
    <row r="458" spans="2:2" ht="15" hidden="1" customHeight="1" x14ac:dyDescent="0.3">
      <c r="B458"/>
    </row>
    <row r="459" spans="2:2" ht="15" hidden="1" customHeight="1" x14ac:dyDescent="0.3">
      <c r="B459"/>
    </row>
    <row r="460" spans="2:2" ht="15" hidden="1" customHeight="1" x14ac:dyDescent="0.3">
      <c r="B460"/>
    </row>
    <row r="461" spans="2:2" ht="15" hidden="1" customHeight="1" x14ac:dyDescent="0.3">
      <c r="B461"/>
    </row>
    <row r="462" spans="2:2" ht="15" hidden="1" customHeight="1" x14ac:dyDescent="0.3">
      <c r="B462"/>
    </row>
    <row r="463" spans="2:2" ht="15" hidden="1" customHeight="1" x14ac:dyDescent="0.3">
      <c r="B463"/>
    </row>
    <row r="464" spans="2:2" ht="15" hidden="1" customHeight="1" x14ac:dyDescent="0.3">
      <c r="B464"/>
    </row>
    <row r="465" spans="2:2" ht="15" hidden="1" customHeight="1" x14ac:dyDescent="0.3">
      <c r="B465"/>
    </row>
    <row r="466" spans="2:2" ht="15" hidden="1" customHeight="1" x14ac:dyDescent="0.3">
      <c r="B466"/>
    </row>
    <row r="467" spans="2:2" ht="15" hidden="1" customHeight="1" x14ac:dyDescent="0.3">
      <c r="B467"/>
    </row>
    <row r="468" spans="2:2" ht="15" hidden="1" customHeight="1" x14ac:dyDescent="0.3">
      <c r="B468"/>
    </row>
    <row r="469" spans="2:2" ht="15" hidden="1" customHeight="1" x14ac:dyDescent="0.3">
      <c r="B469"/>
    </row>
    <row r="470" spans="2:2" ht="15" hidden="1" customHeight="1" x14ac:dyDescent="0.3">
      <c r="B470"/>
    </row>
    <row r="471" spans="2:2" ht="15" hidden="1" customHeight="1" x14ac:dyDescent="0.3">
      <c r="B471"/>
    </row>
    <row r="472" spans="2:2" ht="15" hidden="1" customHeight="1" x14ac:dyDescent="0.3">
      <c r="B472"/>
    </row>
    <row r="473" spans="2:2" ht="15" hidden="1" customHeight="1" x14ac:dyDescent="0.3">
      <c r="B473"/>
    </row>
    <row r="474" spans="2:2" ht="15" hidden="1" customHeight="1" x14ac:dyDescent="0.3">
      <c r="B474"/>
    </row>
    <row r="475" spans="2:2" ht="15" hidden="1" customHeight="1" x14ac:dyDescent="0.3">
      <c r="B475"/>
    </row>
    <row r="476" spans="2:2" ht="15" customHeight="1" x14ac:dyDescent="0.25">
      <c r="B476"/>
    </row>
    <row r="477" spans="2:2" ht="15" customHeight="1" x14ac:dyDescent="0.25">
      <c r="B477"/>
    </row>
    <row r="478" spans="2:2" ht="15" customHeight="1" x14ac:dyDescent="0.25">
      <c r="B478"/>
    </row>
    <row r="479" spans="2:2" ht="15" customHeight="1" x14ac:dyDescent="0.25">
      <c r="B479"/>
    </row>
    <row r="480" spans="2:2" ht="15" customHeight="1" x14ac:dyDescent="0.25">
      <c r="B480"/>
    </row>
    <row r="481" spans="2:2" ht="15" customHeight="1" x14ac:dyDescent="0.25">
      <c r="B481"/>
    </row>
    <row r="482" spans="2:2" ht="15" customHeight="1" x14ac:dyDescent="0.25">
      <c r="B482"/>
    </row>
    <row r="483" spans="2:2" ht="15" customHeight="1" x14ac:dyDescent="0.25">
      <c r="B483"/>
    </row>
    <row r="484" spans="2:2" ht="15" customHeight="1" x14ac:dyDescent="0.25">
      <c r="B484"/>
    </row>
    <row r="485" spans="2:2" ht="15" customHeight="1" x14ac:dyDescent="0.25">
      <c r="B485"/>
    </row>
    <row r="486" spans="2:2" ht="15" customHeight="1" x14ac:dyDescent="0.25">
      <c r="B486"/>
    </row>
    <row r="487" spans="2:2" ht="15" customHeight="1" x14ac:dyDescent="0.25">
      <c r="B487"/>
    </row>
    <row r="488" spans="2:2" ht="15" customHeight="1" x14ac:dyDescent="0.25">
      <c r="B488"/>
    </row>
    <row r="489" spans="2:2" ht="15" customHeight="1" x14ac:dyDescent="0.25">
      <c r="B489"/>
    </row>
    <row r="490" spans="2:2" ht="15" customHeight="1" x14ac:dyDescent="0.25">
      <c r="B490"/>
    </row>
    <row r="491" spans="2:2" ht="15" customHeight="1" x14ac:dyDescent="0.25">
      <c r="B491"/>
    </row>
    <row r="492" spans="2:2" ht="15" customHeight="1" x14ac:dyDescent="0.25">
      <c r="B492"/>
    </row>
    <row r="493" spans="2:2" ht="15" customHeight="1" x14ac:dyDescent="0.25">
      <c r="B493"/>
    </row>
    <row r="494" spans="2:2" ht="15" customHeight="1" x14ac:dyDescent="0.25">
      <c r="B494"/>
    </row>
    <row r="495" spans="2:2" ht="15" customHeight="1" x14ac:dyDescent="0.25">
      <c r="B495"/>
    </row>
    <row r="496" spans="2:2" ht="15" customHeight="1" x14ac:dyDescent="0.25">
      <c r="B496"/>
    </row>
    <row r="497" spans="2:2" ht="15" customHeight="1" x14ac:dyDescent="0.25">
      <c r="B497"/>
    </row>
    <row r="498" spans="2:2" ht="15" customHeight="1" x14ac:dyDescent="0.25">
      <c r="B498"/>
    </row>
    <row r="499" spans="2:2" ht="15" customHeight="1" x14ac:dyDescent="0.25">
      <c r="B499"/>
    </row>
    <row r="500" spans="2:2" ht="15" customHeight="1" x14ac:dyDescent="0.25">
      <c r="B500"/>
    </row>
    <row r="501" spans="2:2" ht="15" customHeight="1" x14ac:dyDescent="0.25">
      <c r="B501"/>
    </row>
    <row r="502" spans="2:2" ht="15" customHeight="1" x14ac:dyDescent="0.25">
      <c r="B502"/>
    </row>
    <row r="503" spans="2:2" ht="15" customHeight="1" x14ac:dyDescent="0.25">
      <c r="B503"/>
    </row>
    <row r="504" spans="2:2" ht="15" customHeight="1" x14ac:dyDescent="0.25">
      <c r="B504"/>
    </row>
    <row r="505" spans="2:2" ht="15" customHeight="1" x14ac:dyDescent="0.25">
      <c r="B505"/>
    </row>
    <row r="506" spans="2:2" ht="15" customHeight="1" x14ac:dyDescent="0.25">
      <c r="B506"/>
    </row>
    <row r="507" spans="2:2" ht="15" customHeight="1" x14ac:dyDescent="0.25">
      <c r="B507"/>
    </row>
    <row r="508" spans="2:2" ht="15" customHeight="1" x14ac:dyDescent="0.25">
      <c r="B508"/>
    </row>
    <row r="509" spans="2:2" ht="15" customHeight="1" x14ac:dyDescent="0.25">
      <c r="B509"/>
    </row>
    <row r="510" spans="2:2" ht="15" customHeight="1" x14ac:dyDescent="0.25">
      <c r="B510"/>
    </row>
    <row r="511" spans="2:2" ht="15" customHeight="1" x14ac:dyDescent="0.25">
      <c r="B511"/>
    </row>
    <row r="512" spans="2:2" ht="15" customHeight="1" x14ac:dyDescent="0.25">
      <c r="B512"/>
    </row>
    <row r="513" spans="2:2" ht="15" customHeight="1" x14ac:dyDescent="0.25">
      <c r="B513"/>
    </row>
    <row r="514" spans="2:2" ht="15" customHeight="1" x14ac:dyDescent="0.25">
      <c r="B514"/>
    </row>
    <row r="515" spans="2:2" ht="15" customHeight="1" x14ac:dyDescent="0.25">
      <c r="B515"/>
    </row>
    <row r="516" spans="2:2" ht="15" customHeight="1" x14ac:dyDescent="0.25">
      <c r="B516"/>
    </row>
    <row r="517" spans="2:2" ht="15" customHeight="1" x14ac:dyDescent="0.25">
      <c r="B517"/>
    </row>
    <row r="518" spans="2:2" ht="15" customHeight="1" x14ac:dyDescent="0.25">
      <c r="B518"/>
    </row>
    <row r="519" spans="2:2" ht="15" customHeight="1" x14ac:dyDescent="0.25">
      <c r="B519"/>
    </row>
    <row r="520" spans="2:2" ht="15" customHeight="1" x14ac:dyDescent="0.25">
      <c r="B520"/>
    </row>
    <row r="521" spans="2:2" ht="15" customHeight="1" x14ac:dyDescent="0.25">
      <c r="B521"/>
    </row>
    <row r="522" spans="2:2" ht="15" customHeight="1" x14ac:dyDescent="0.25">
      <c r="B522"/>
    </row>
    <row r="523" spans="2:2" ht="15" customHeight="1" x14ac:dyDescent="0.25">
      <c r="B523"/>
    </row>
    <row r="524" spans="2:2" ht="15" customHeight="1" x14ac:dyDescent="0.25">
      <c r="B524"/>
    </row>
    <row r="525" spans="2:2" ht="15" customHeight="1" x14ac:dyDescent="0.25">
      <c r="B525"/>
    </row>
    <row r="526" spans="2:2" ht="15" customHeight="1" x14ac:dyDescent="0.25">
      <c r="B526"/>
    </row>
    <row r="527" spans="2:2" ht="15" customHeight="1" x14ac:dyDescent="0.25">
      <c r="B527"/>
    </row>
    <row r="528" spans="2:2" ht="15" customHeight="1" x14ac:dyDescent="0.25">
      <c r="B528"/>
    </row>
    <row r="529" spans="2:2" ht="15" customHeight="1" x14ac:dyDescent="0.25">
      <c r="B529"/>
    </row>
    <row r="530" spans="2:2" ht="15" hidden="1" customHeight="1" x14ac:dyDescent="0.3">
      <c r="B530"/>
    </row>
    <row r="531" spans="2:2" ht="15" hidden="1" customHeight="1" x14ac:dyDescent="0.3">
      <c r="B531"/>
    </row>
    <row r="532" spans="2:2" ht="15" hidden="1" customHeight="1" x14ac:dyDescent="0.3">
      <c r="B532"/>
    </row>
    <row r="533" spans="2:2" ht="15" customHeight="1" x14ac:dyDescent="0.25">
      <c r="B533"/>
    </row>
    <row r="534" spans="2:2" ht="15" customHeight="1" x14ac:dyDescent="0.25">
      <c r="B534"/>
    </row>
    <row r="535" spans="2:2" ht="15" customHeight="1" x14ac:dyDescent="0.25">
      <c r="B535"/>
    </row>
    <row r="536" spans="2:2" ht="15" customHeight="1" x14ac:dyDescent="0.25">
      <c r="B536"/>
    </row>
    <row r="537" spans="2:2" ht="15" customHeight="1" x14ac:dyDescent="0.25">
      <c r="B537"/>
    </row>
    <row r="538" spans="2:2" ht="15" customHeight="1" x14ac:dyDescent="0.25">
      <c r="B538"/>
    </row>
    <row r="539" spans="2:2" ht="15" customHeight="1" x14ac:dyDescent="0.25">
      <c r="B539"/>
    </row>
    <row r="540" spans="2:2" ht="15" hidden="1" customHeight="1" x14ac:dyDescent="0.3">
      <c r="B540"/>
    </row>
    <row r="541" spans="2:2" ht="15" hidden="1" customHeight="1" x14ac:dyDescent="0.3">
      <c r="B541"/>
    </row>
    <row r="542" spans="2:2" ht="15" hidden="1" customHeight="1" x14ac:dyDescent="0.3">
      <c r="B542"/>
    </row>
    <row r="543" spans="2:2" ht="15" hidden="1" customHeight="1" x14ac:dyDescent="0.3">
      <c r="B543"/>
    </row>
    <row r="544" spans="2:2" ht="15" hidden="1" customHeight="1" x14ac:dyDescent="0.3">
      <c r="B544"/>
    </row>
    <row r="545" spans="2:2" ht="15" hidden="1" customHeight="1" x14ac:dyDescent="0.3">
      <c r="B545"/>
    </row>
    <row r="546" spans="2:2" ht="15" hidden="1" customHeight="1" x14ac:dyDescent="0.3">
      <c r="B546"/>
    </row>
    <row r="547" spans="2:2" ht="15" hidden="1" customHeight="1" x14ac:dyDescent="0.3">
      <c r="B547"/>
    </row>
    <row r="548" spans="2:2" ht="15" hidden="1" customHeight="1" x14ac:dyDescent="0.3">
      <c r="B548"/>
    </row>
    <row r="549" spans="2:2" ht="15" hidden="1" customHeight="1" x14ac:dyDescent="0.3">
      <c r="B549"/>
    </row>
    <row r="550" spans="2:2" ht="15" hidden="1" customHeight="1" x14ac:dyDescent="0.3">
      <c r="B550"/>
    </row>
    <row r="551" spans="2:2" ht="15" hidden="1" customHeight="1" x14ac:dyDescent="0.3">
      <c r="B551"/>
    </row>
    <row r="552" spans="2:2" ht="15" customHeight="1" x14ac:dyDescent="0.25">
      <c r="B552"/>
    </row>
    <row r="553" spans="2:2" ht="15" customHeight="1" x14ac:dyDescent="0.25">
      <c r="B553"/>
    </row>
    <row r="554" spans="2:2" ht="15" customHeight="1" x14ac:dyDescent="0.25">
      <c r="B554"/>
    </row>
    <row r="555" spans="2:2" ht="15" customHeight="1" x14ac:dyDescent="0.25">
      <c r="B555"/>
    </row>
    <row r="556" spans="2:2" ht="15" customHeight="1" x14ac:dyDescent="0.25">
      <c r="B556"/>
    </row>
    <row r="557" spans="2:2" ht="15" customHeight="1" x14ac:dyDescent="0.25">
      <c r="B557"/>
    </row>
    <row r="558" spans="2:2" ht="15" customHeight="1" x14ac:dyDescent="0.25">
      <c r="B558"/>
    </row>
    <row r="559" spans="2:2" ht="15" customHeight="1" x14ac:dyDescent="0.25">
      <c r="B559"/>
    </row>
    <row r="560" spans="2:2" ht="15" hidden="1" customHeight="1" x14ac:dyDescent="0.3">
      <c r="B560"/>
    </row>
    <row r="561" spans="2:2" ht="15" hidden="1" customHeight="1" x14ac:dyDescent="0.3">
      <c r="B561"/>
    </row>
    <row r="562" spans="2:2" ht="15" hidden="1" customHeight="1" x14ac:dyDescent="0.3">
      <c r="B562"/>
    </row>
    <row r="563" spans="2:2" ht="15" hidden="1" customHeight="1" x14ac:dyDescent="0.3">
      <c r="B563"/>
    </row>
    <row r="564" spans="2:2" ht="15" hidden="1" customHeight="1" x14ac:dyDescent="0.3">
      <c r="B564"/>
    </row>
    <row r="565" spans="2:2" ht="15" customHeight="1" x14ac:dyDescent="0.25">
      <c r="B565"/>
    </row>
    <row r="566" spans="2:2" ht="15" customHeight="1" x14ac:dyDescent="0.25">
      <c r="B566"/>
    </row>
    <row r="567" spans="2:2" ht="15" customHeight="1" x14ac:dyDescent="0.25">
      <c r="B567"/>
    </row>
    <row r="568" spans="2:2" ht="15" customHeight="1" x14ac:dyDescent="0.25">
      <c r="B568"/>
    </row>
    <row r="569" spans="2:2" ht="15" customHeight="1" x14ac:dyDescent="0.25">
      <c r="B569"/>
    </row>
    <row r="570" spans="2:2" ht="15" customHeight="1" x14ac:dyDescent="0.25">
      <c r="B570"/>
    </row>
    <row r="571" spans="2:2" ht="15" customHeight="1" x14ac:dyDescent="0.25">
      <c r="B571"/>
    </row>
    <row r="572" spans="2:2" ht="15" customHeight="1" x14ac:dyDescent="0.25">
      <c r="B572"/>
    </row>
    <row r="573" spans="2:2" ht="15" customHeight="1" x14ac:dyDescent="0.25">
      <c r="B573"/>
    </row>
    <row r="574" spans="2:2" ht="15" customHeight="1" x14ac:dyDescent="0.25">
      <c r="B574"/>
    </row>
    <row r="575" spans="2:2" ht="15" hidden="1" customHeight="1" x14ac:dyDescent="0.3">
      <c r="B575"/>
    </row>
    <row r="576" spans="2:2" ht="15" hidden="1" customHeight="1" x14ac:dyDescent="0.3">
      <c r="B576"/>
    </row>
    <row r="577" spans="2:2" ht="15" hidden="1" customHeight="1" x14ac:dyDescent="0.3">
      <c r="B577"/>
    </row>
    <row r="578" spans="2:2" ht="15" hidden="1" customHeight="1" x14ac:dyDescent="0.3">
      <c r="B578"/>
    </row>
    <row r="579" spans="2:2" ht="15" hidden="1" customHeight="1" x14ac:dyDescent="0.3">
      <c r="B579"/>
    </row>
    <row r="580" spans="2:2" ht="15" hidden="1" customHeight="1" x14ac:dyDescent="0.3">
      <c r="B580"/>
    </row>
    <row r="581" spans="2:2" ht="15" hidden="1" customHeight="1" x14ac:dyDescent="0.3">
      <c r="B581"/>
    </row>
    <row r="582" spans="2:2" ht="15" hidden="1" customHeight="1" x14ac:dyDescent="0.3">
      <c r="B582"/>
    </row>
    <row r="583" spans="2:2" ht="15" hidden="1" customHeight="1" x14ac:dyDescent="0.3">
      <c r="B583"/>
    </row>
    <row r="584" spans="2:2" ht="15" hidden="1" customHeight="1" x14ac:dyDescent="0.3">
      <c r="B584"/>
    </row>
    <row r="585" spans="2:2" ht="15" hidden="1" customHeight="1" x14ac:dyDescent="0.3">
      <c r="B585"/>
    </row>
    <row r="586" spans="2:2" ht="15" hidden="1" customHeight="1" x14ac:dyDescent="0.3">
      <c r="B586"/>
    </row>
    <row r="587" spans="2:2" ht="15" customHeight="1" x14ac:dyDescent="0.25">
      <c r="B587"/>
    </row>
    <row r="588" spans="2:2" ht="15" customHeight="1" x14ac:dyDescent="0.25">
      <c r="B588"/>
    </row>
    <row r="589" spans="2:2" ht="15" hidden="1" customHeight="1" x14ac:dyDescent="0.3">
      <c r="B589"/>
    </row>
    <row r="590" spans="2:2" ht="15" hidden="1" customHeight="1" x14ac:dyDescent="0.3">
      <c r="B590"/>
    </row>
    <row r="591" spans="2:2" ht="15" hidden="1" customHeight="1" x14ac:dyDescent="0.3">
      <c r="B591"/>
    </row>
    <row r="592" spans="2:2" ht="15" customHeight="1" x14ac:dyDescent="0.25">
      <c r="B592"/>
    </row>
    <row r="593" spans="2:2" ht="15" customHeight="1" x14ac:dyDescent="0.25">
      <c r="B593"/>
    </row>
    <row r="594" spans="2:2" ht="15" customHeight="1" x14ac:dyDescent="0.25">
      <c r="B594"/>
    </row>
    <row r="595" spans="2:2" ht="15" hidden="1" customHeight="1" x14ac:dyDescent="0.3">
      <c r="B595"/>
    </row>
    <row r="596" spans="2:2" ht="15" hidden="1" customHeight="1" x14ac:dyDescent="0.3">
      <c r="B596"/>
    </row>
    <row r="597" spans="2:2" ht="15" hidden="1" customHeight="1" x14ac:dyDescent="0.3">
      <c r="B597"/>
    </row>
    <row r="598" spans="2:2" ht="15" hidden="1" customHeight="1" x14ac:dyDescent="0.3">
      <c r="B598"/>
    </row>
    <row r="599" spans="2:2" ht="15" hidden="1" customHeight="1" x14ac:dyDescent="0.3">
      <c r="B599"/>
    </row>
    <row r="600" spans="2:2" ht="15" hidden="1" customHeight="1" x14ac:dyDescent="0.3">
      <c r="B600"/>
    </row>
    <row r="601" spans="2:2" ht="15" hidden="1" customHeight="1" x14ac:dyDescent="0.3">
      <c r="B601"/>
    </row>
    <row r="602" spans="2:2" ht="15" hidden="1" customHeight="1" x14ac:dyDescent="0.3">
      <c r="B602"/>
    </row>
    <row r="603" spans="2:2" ht="15" customHeight="1" x14ac:dyDescent="0.25">
      <c r="B603"/>
    </row>
    <row r="604" spans="2:2" ht="15" customHeight="1" x14ac:dyDescent="0.25">
      <c r="B604"/>
    </row>
    <row r="605" spans="2:2" ht="15" customHeight="1" x14ac:dyDescent="0.25">
      <c r="B605"/>
    </row>
    <row r="606" spans="2:2" ht="15" customHeight="1" x14ac:dyDescent="0.25">
      <c r="B606"/>
    </row>
    <row r="607" spans="2:2" ht="15" customHeight="1" x14ac:dyDescent="0.25">
      <c r="B607"/>
    </row>
    <row r="608" spans="2:2" ht="15" customHeight="1" x14ac:dyDescent="0.25">
      <c r="B608"/>
    </row>
    <row r="609" spans="2:2" ht="15" customHeight="1" x14ac:dyDescent="0.25">
      <c r="B609"/>
    </row>
    <row r="610" spans="2:2" ht="15" customHeight="1" x14ac:dyDescent="0.25">
      <c r="B610"/>
    </row>
    <row r="611" spans="2:2" ht="15" customHeight="1" x14ac:dyDescent="0.25">
      <c r="B611"/>
    </row>
    <row r="612" spans="2:2" ht="15" customHeight="1" x14ac:dyDescent="0.25">
      <c r="B612"/>
    </row>
    <row r="613" spans="2:2" ht="15" customHeight="1" x14ac:dyDescent="0.25">
      <c r="B613"/>
    </row>
    <row r="614" spans="2:2" ht="15" customHeight="1" x14ac:dyDescent="0.25">
      <c r="B614"/>
    </row>
    <row r="615" spans="2:2" ht="15" customHeight="1" x14ac:dyDescent="0.25">
      <c r="B615"/>
    </row>
    <row r="616" spans="2:2" ht="15" customHeight="1" x14ac:dyDescent="0.25">
      <c r="B616"/>
    </row>
    <row r="617" spans="2:2" ht="15" customHeight="1" x14ac:dyDescent="0.25">
      <c r="B617"/>
    </row>
    <row r="618" spans="2:2" ht="15" customHeight="1" x14ac:dyDescent="0.25">
      <c r="B618"/>
    </row>
    <row r="619" spans="2:2" ht="15" customHeight="1" x14ac:dyDescent="0.25">
      <c r="B619"/>
    </row>
    <row r="620" spans="2:2" ht="15" customHeight="1" x14ac:dyDescent="0.25">
      <c r="B620"/>
    </row>
    <row r="621" spans="2:2" ht="15" customHeight="1" x14ac:dyDescent="0.25">
      <c r="B621"/>
    </row>
    <row r="622" spans="2:2" ht="15" customHeight="1" x14ac:dyDescent="0.25">
      <c r="B622"/>
    </row>
    <row r="623" spans="2:2" ht="15" hidden="1" customHeight="1" x14ac:dyDescent="0.3">
      <c r="B623"/>
    </row>
    <row r="624" spans="2:2" ht="15" hidden="1" customHeight="1" x14ac:dyDescent="0.3">
      <c r="B624"/>
    </row>
    <row r="625" spans="2:2" ht="15" hidden="1" customHeight="1" x14ac:dyDescent="0.3">
      <c r="B625"/>
    </row>
    <row r="626" spans="2:2" ht="15" hidden="1" customHeight="1" x14ac:dyDescent="0.3">
      <c r="B626"/>
    </row>
    <row r="627" spans="2:2" ht="15" hidden="1" customHeight="1" x14ac:dyDescent="0.3">
      <c r="B627"/>
    </row>
    <row r="628" spans="2:2" ht="15" hidden="1" customHeight="1" x14ac:dyDescent="0.3">
      <c r="B628"/>
    </row>
    <row r="629" spans="2:2" ht="15" hidden="1" customHeight="1" x14ac:dyDescent="0.3">
      <c r="B629"/>
    </row>
    <row r="630" spans="2:2" ht="15" customHeight="1" x14ac:dyDescent="0.25">
      <c r="B630"/>
    </row>
    <row r="631" spans="2:2" ht="15" customHeight="1" x14ac:dyDescent="0.25">
      <c r="B631"/>
    </row>
    <row r="632" spans="2:2" ht="15" customHeight="1" x14ac:dyDescent="0.25">
      <c r="B632"/>
    </row>
    <row r="633" spans="2:2" ht="15" customHeight="1" x14ac:dyDescent="0.25">
      <c r="B633"/>
    </row>
    <row r="634" spans="2:2" ht="15" hidden="1" customHeight="1" x14ac:dyDescent="0.3">
      <c r="B634"/>
    </row>
    <row r="635" spans="2:2" ht="15" hidden="1" customHeight="1" x14ac:dyDescent="0.3">
      <c r="B635"/>
    </row>
    <row r="636" spans="2:2" ht="15" hidden="1" customHeight="1" x14ac:dyDescent="0.3">
      <c r="B636"/>
    </row>
    <row r="637" spans="2:2" ht="15" hidden="1" customHeight="1" x14ac:dyDescent="0.3">
      <c r="B637"/>
    </row>
    <row r="638" spans="2:2" ht="15" hidden="1" customHeight="1" x14ac:dyDescent="0.3">
      <c r="B638"/>
    </row>
    <row r="639" spans="2:2" ht="15" hidden="1" customHeight="1" x14ac:dyDescent="0.3">
      <c r="B639"/>
    </row>
    <row r="640" spans="2:2" ht="15" hidden="1" customHeight="1" x14ac:dyDescent="0.3">
      <c r="B640"/>
    </row>
    <row r="641" spans="2:2" ht="15" hidden="1" customHeight="1" x14ac:dyDescent="0.3">
      <c r="B641"/>
    </row>
    <row r="642" spans="2:2" ht="15" hidden="1" customHeight="1" x14ac:dyDescent="0.3">
      <c r="B642"/>
    </row>
    <row r="643" spans="2:2" ht="15" hidden="1" customHeight="1" x14ac:dyDescent="0.3">
      <c r="B643"/>
    </row>
    <row r="644" spans="2:2" ht="15" hidden="1" customHeight="1" x14ac:dyDescent="0.3">
      <c r="B644"/>
    </row>
    <row r="645" spans="2:2" ht="15" customHeight="1" x14ac:dyDescent="0.25">
      <c r="B645"/>
    </row>
    <row r="646" spans="2:2" ht="15" customHeight="1" x14ac:dyDescent="0.25">
      <c r="B646"/>
    </row>
    <row r="647" spans="2:2" ht="15" customHeight="1" x14ac:dyDescent="0.25">
      <c r="B647"/>
    </row>
    <row r="648" spans="2:2" ht="15" customHeight="1" x14ac:dyDescent="0.25">
      <c r="B648"/>
    </row>
    <row r="649" spans="2:2" ht="15" customHeight="1" x14ac:dyDescent="0.25">
      <c r="B649"/>
    </row>
    <row r="650" spans="2:2" ht="15" customHeight="1" x14ac:dyDescent="0.25">
      <c r="B650"/>
    </row>
    <row r="651" spans="2:2" ht="15" hidden="1" customHeight="1" x14ac:dyDescent="0.3">
      <c r="B651"/>
    </row>
    <row r="652" spans="2:2" ht="15" hidden="1" customHeight="1" x14ac:dyDescent="0.3">
      <c r="B652"/>
    </row>
    <row r="653" spans="2:2" ht="15" hidden="1" customHeight="1" x14ac:dyDescent="0.3">
      <c r="B653"/>
    </row>
    <row r="654" spans="2:2" ht="15" hidden="1" customHeight="1" x14ac:dyDescent="0.3">
      <c r="B654"/>
    </row>
    <row r="655" spans="2:2" ht="15" customHeight="1" x14ac:dyDescent="0.25">
      <c r="B655"/>
    </row>
    <row r="656" spans="2:2" ht="15" customHeight="1" x14ac:dyDescent="0.25">
      <c r="B656"/>
    </row>
    <row r="657" spans="2:2" ht="15" customHeight="1" x14ac:dyDescent="0.25">
      <c r="B657"/>
    </row>
    <row r="658" spans="2:2" ht="15" customHeight="1" x14ac:dyDescent="0.25"/>
    <row r="659" spans="2:2" ht="15" customHeight="1" x14ac:dyDescent="0.25"/>
    <row r="660" spans="2:2" ht="15" customHeight="1" x14ac:dyDescent="0.25"/>
    <row r="661" spans="2:2" ht="15" customHeight="1" x14ac:dyDescent="0.25"/>
    <row r="662" spans="2:2" ht="15" customHeight="1" x14ac:dyDescent="0.25"/>
    <row r="663" spans="2:2" ht="15" customHeight="1" x14ac:dyDescent="0.25"/>
    <row r="664" spans="2:2" ht="15" customHeight="1" x14ac:dyDescent="0.25"/>
    <row r="665" spans="2:2" ht="15" customHeight="1" x14ac:dyDescent="0.25"/>
    <row r="666" spans="2:2" ht="15" customHeight="1" x14ac:dyDescent="0.25"/>
    <row r="667" spans="2:2" ht="15" customHeight="1" x14ac:dyDescent="0.25"/>
    <row r="668" spans="2:2" ht="15" customHeight="1" x14ac:dyDescent="0.25"/>
    <row r="669" spans="2:2" ht="15" customHeight="1" x14ac:dyDescent="0.25"/>
  </sheetData>
  <mergeCells count="8">
    <mergeCell ref="A6:B6"/>
    <mergeCell ref="F6:K6"/>
    <mergeCell ref="L1:M1"/>
    <mergeCell ref="A2:B2"/>
    <mergeCell ref="A3:B3"/>
    <mergeCell ref="A4:B4"/>
    <mergeCell ref="A5:B5"/>
    <mergeCell ref="F5:K5"/>
  </mergeCells>
  <dataValidations count="2">
    <dataValidation type="list" allowBlank="1" showInputMessage="1" showErrorMessage="1" sqref="C5">
      <formula1>"1,2,3,4,5,6,7,8,9,10,11,12"</formula1>
    </dataValidation>
    <dataValidation type="list" allowBlank="1" showInputMessage="1" showErrorMessage="1" sqref="C4">
      <formula1>"2016,2017,2018,2019,2020,2021,2022,2023,2024,2025,2026,2027,2028,2029,2030"</formula1>
    </dataValidation>
  </dataValidations>
  <pageMargins left="0.17" right="0.17" top="0.17" bottom="0.2" header="0.2" footer="0.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outon 1">
              <controlPr defaultSize="0" print="0" autoFill="0" autoPict="0" macro="[0]!Document_XMLAfterInsert">
                <anchor moveWithCells="1" sizeWithCells="1">
                  <from>
                    <xdr:col>3</xdr:col>
                    <xdr:colOff>323850</xdr:colOff>
                    <xdr:row>1</xdr:row>
                    <xdr:rowOff>57150</xdr:rowOff>
                  </from>
                  <to>
                    <xdr:col>4</xdr:col>
                    <xdr:colOff>352425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H15"/>
  <sheetViews>
    <sheetView workbookViewId="0">
      <selection activeCell="D15" sqref="D15"/>
    </sheetView>
  </sheetViews>
  <sheetFormatPr baseColWidth="10" defaultRowHeight="15" x14ac:dyDescent="0.25"/>
  <cols>
    <col min="3" max="3" width="22.85546875" bestFit="1" customWidth="1"/>
    <col min="4" max="4" width="13.28515625" style="5" bestFit="1" customWidth="1"/>
    <col min="6" max="6" width="12.85546875" bestFit="1" customWidth="1"/>
    <col min="8" max="8" width="11.85546875" bestFit="1" customWidth="1"/>
  </cols>
  <sheetData>
    <row r="5" spans="3:8" ht="14.45" x14ac:dyDescent="0.3">
      <c r="C5" t="s">
        <v>22</v>
      </c>
      <c r="D5" s="5">
        <f>ENC!F27</f>
        <v>37960</v>
      </c>
    </row>
    <row r="6" spans="3:8" ht="14.45" x14ac:dyDescent="0.3">
      <c r="C6" t="s">
        <v>34</v>
      </c>
      <c r="D6" s="6">
        <f>+DECLARATION!E40</f>
        <v>10.454545454545467</v>
      </c>
      <c r="F6" s="5"/>
    </row>
    <row r="7" spans="3:8" ht="14.45" x14ac:dyDescent="0.3">
      <c r="C7" t="s">
        <v>25</v>
      </c>
      <c r="D7" s="6" t="e">
        <f>+DECLARATION!E41-D8</f>
        <v>#REF!</v>
      </c>
      <c r="H7" s="5"/>
    </row>
    <row r="8" spans="3:8" ht="14.45" x14ac:dyDescent="0.3">
      <c r="C8" t="s">
        <v>35</v>
      </c>
      <c r="D8" s="6" t="e">
        <f>+DECLARATION!#REF!+DECLARATION!#REF!+DECLARATION!#REF!+DECLARATION!F4+DECLARATION!#REF!</f>
        <v>#REF!</v>
      </c>
      <c r="G8" s="8"/>
    </row>
    <row r="9" spans="3:8" ht="14.45" x14ac:dyDescent="0.3">
      <c r="C9" t="s">
        <v>23</v>
      </c>
      <c r="D9" s="6"/>
      <c r="F9" s="5"/>
    </row>
    <row r="10" spans="3:8" ht="14.45" x14ac:dyDescent="0.3">
      <c r="C10" t="s">
        <v>26</v>
      </c>
      <c r="D10" s="6"/>
    </row>
    <row r="11" spans="3:8" ht="14.45" x14ac:dyDescent="0.3">
      <c r="C11" t="s">
        <v>36</v>
      </c>
      <c r="D11" s="6"/>
    </row>
    <row r="12" spans="3:8" ht="14.45" x14ac:dyDescent="0.3">
      <c r="C12" t="s">
        <v>24</v>
      </c>
      <c r="D12" s="5" t="e">
        <f>SUM(D6:D11)</f>
        <v>#REF!</v>
      </c>
    </row>
    <row r="13" spans="3:8" x14ac:dyDescent="0.25">
      <c r="C13" t="s">
        <v>37</v>
      </c>
      <c r="D13" s="5" t="e">
        <f>+D12-Tableau57[[#Totals],[TVA]]</f>
        <v>#REF!</v>
      </c>
    </row>
    <row r="14" spans="3:8" ht="15.6" x14ac:dyDescent="0.3">
      <c r="C14" s="23" t="s">
        <v>38</v>
      </c>
      <c r="D14" s="24" t="e">
        <f>IF(D5&lt;D12,D5-D12,"")</f>
        <v>#REF!</v>
      </c>
      <c r="F14" s="5"/>
    </row>
    <row r="15" spans="3:8" ht="15.6" x14ac:dyDescent="0.3">
      <c r="C15" s="21" t="s">
        <v>39</v>
      </c>
      <c r="D15" s="22" t="e">
        <f>ROUNDUP(IF(D5&gt;D12,D5-D12,""),0)</f>
        <v>#REF!</v>
      </c>
      <c r="F15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M40"/>
  <sheetViews>
    <sheetView zoomScale="85" zoomScaleNormal="85" workbookViewId="0">
      <selection activeCell="E9" sqref="E9"/>
    </sheetView>
  </sheetViews>
  <sheetFormatPr baseColWidth="10" defaultRowHeight="15" x14ac:dyDescent="0.25"/>
  <cols>
    <col min="2" max="2" width="16.140625" customWidth="1"/>
    <col min="3" max="3" width="18.42578125" bestFit="1" customWidth="1"/>
    <col min="4" max="4" width="16.42578125" customWidth="1"/>
    <col min="5" max="5" width="13.85546875" bestFit="1" customWidth="1"/>
    <col min="6" max="6" width="16" bestFit="1" customWidth="1"/>
    <col min="7" max="7" width="14.28515625" bestFit="1" customWidth="1"/>
    <col min="9" max="10" width="13.140625" bestFit="1" customWidth="1"/>
    <col min="11" max="11" width="12.140625" bestFit="1" customWidth="1"/>
    <col min="13" max="13" width="12.140625" bestFit="1" customWidth="1"/>
  </cols>
  <sheetData>
    <row r="4" spans="2:13" ht="14.45" x14ac:dyDescent="0.3">
      <c r="B4" s="12" t="s">
        <v>28</v>
      </c>
      <c r="C4" s="12" t="s">
        <v>27</v>
      </c>
      <c r="D4" s="12" t="s">
        <v>67</v>
      </c>
      <c r="E4" s="12" t="s">
        <v>29</v>
      </c>
      <c r="F4" s="12" t="s">
        <v>30</v>
      </c>
      <c r="G4" s="12" t="s">
        <v>31</v>
      </c>
    </row>
    <row r="5" spans="2:13" ht="14.45" x14ac:dyDescent="0.3">
      <c r="B5" s="13"/>
      <c r="C5" s="12"/>
      <c r="D5" s="12"/>
      <c r="E5" s="43">
        <v>13200</v>
      </c>
      <c r="F5" s="14">
        <f t="shared" ref="F5:F14" si="0">+E5/1.2</f>
        <v>11000</v>
      </c>
      <c r="G5" s="14">
        <f t="shared" ref="G5:G10" si="1">+E5-F5</f>
        <v>2200</v>
      </c>
      <c r="I5" s="43"/>
      <c r="J5" s="14">
        <f t="shared" ref="J5" si="2">+I5/1.2</f>
        <v>0</v>
      </c>
      <c r="K5" s="14">
        <f t="shared" ref="K5" si="3">+I5-J5</f>
        <v>0</v>
      </c>
    </row>
    <row r="6" spans="2:13" ht="14.45" x14ac:dyDescent="0.3">
      <c r="B6" s="13"/>
      <c r="C6" s="12"/>
      <c r="D6" s="12"/>
      <c r="E6" s="14">
        <v>11862</v>
      </c>
      <c r="F6" s="14">
        <f t="shared" si="0"/>
        <v>9885</v>
      </c>
      <c r="G6" s="14">
        <f t="shared" si="1"/>
        <v>1977</v>
      </c>
      <c r="I6" s="43">
        <v>244890</v>
      </c>
      <c r="J6" s="14">
        <f t="shared" ref="J6" si="4">+I6/1.2</f>
        <v>204075</v>
      </c>
      <c r="K6" s="14">
        <f t="shared" ref="K6" si="5">+I6-J6</f>
        <v>40815</v>
      </c>
    </row>
    <row r="7" spans="2:13" ht="14.45" x14ac:dyDescent="0.3">
      <c r="B7" s="13"/>
      <c r="C7" s="12"/>
      <c r="D7" s="12"/>
      <c r="E7" s="14">
        <v>69264</v>
      </c>
      <c r="F7" s="14">
        <f t="shared" si="0"/>
        <v>57720</v>
      </c>
      <c r="G7" s="14">
        <f t="shared" si="1"/>
        <v>11544</v>
      </c>
      <c r="I7" s="60">
        <v>33300</v>
      </c>
      <c r="J7" s="14">
        <f t="shared" ref="J7:J13" si="6">+I7/1.2</f>
        <v>27750</v>
      </c>
      <c r="K7" s="14">
        <f t="shared" ref="K7:K13" si="7">+I7-J7</f>
        <v>5550</v>
      </c>
    </row>
    <row r="8" spans="2:13" ht="14.45" x14ac:dyDescent="0.3">
      <c r="B8" s="13"/>
      <c r="C8" s="12"/>
      <c r="D8" s="12"/>
      <c r="E8" s="60">
        <v>133431</v>
      </c>
      <c r="F8" s="14">
        <f>+E8/1.2</f>
        <v>111192.5</v>
      </c>
      <c r="G8" s="14">
        <f>+E8-F8</f>
        <v>22238.5</v>
      </c>
      <c r="I8" s="43"/>
      <c r="J8" s="60">
        <f t="shared" si="6"/>
        <v>0</v>
      </c>
      <c r="K8" s="60">
        <f t="shared" si="7"/>
        <v>0</v>
      </c>
    </row>
    <row r="9" spans="2:13" ht="14.45" x14ac:dyDescent="0.3">
      <c r="B9" s="13"/>
      <c r="C9" s="12"/>
      <c r="D9" s="12"/>
      <c r="E9" s="43"/>
      <c r="F9" s="14">
        <f>+E9/1.2</f>
        <v>0</v>
      </c>
      <c r="G9" s="14">
        <f>+E9-F9</f>
        <v>0</v>
      </c>
      <c r="I9" s="14">
        <v>133431</v>
      </c>
      <c r="J9" s="60">
        <f t="shared" si="6"/>
        <v>111192.5</v>
      </c>
      <c r="K9" s="60">
        <f t="shared" si="7"/>
        <v>22238.5</v>
      </c>
      <c r="L9" s="100">
        <v>44105</v>
      </c>
    </row>
    <row r="10" spans="2:13" ht="14.45" x14ac:dyDescent="0.3">
      <c r="B10" s="13"/>
      <c r="C10" s="12"/>
      <c r="D10" s="12"/>
      <c r="E10" s="43"/>
      <c r="F10" s="14">
        <f t="shared" si="0"/>
        <v>0</v>
      </c>
      <c r="G10" s="14">
        <f t="shared" si="1"/>
        <v>0</v>
      </c>
      <c r="I10" s="60"/>
      <c r="J10" s="14">
        <f t="shared" si="6"/>
        <v>0</v>
      </c>
      <c r="K10" s="14">
        <f t="shared" si="7"/>
        <v>0</v>
      </c>
    </row>
    <row r="11" spans="2:13" ht="14.45" x14ac:dyDescent="0.3">
      <c r="B11" s="13"/>
      <c r="C11" s="12"/>
      <c r="D11" s="12"/>
      <c r="E11" s="43"/>
      <c r="F11" s="14">
        <f t="shared" ref="F11" si="8">+E11/1.2</f>
        <v>0</v>
      </c>
      <c r="G11" s="14">
        <f t="shared" ref="G11" si="9">+E11-F11</f>
        <v>0</v>
      </c>
      <c r="I11" s="43"/>
      <c r="J11" s="14">
        <f t="shared" si="6"/>
        <v>0</v>
      </c>
      <c r="K11" s="14">
        <f t="shared" si="7"/>
        <v>0</v>
      </c>
    </row>
    <row r="12" spans="2:13" ht="14.45" x14ac:dyDescent="0.3">
      <c r="B12" s="13"/>
      <c r="C12" s="12"/>
      <c r="D12" s="12"/>
      <c r="E12" s="43"/>
      <c r="F12" s="14">
        <f>+E12/1.2</f>
        <v>0</v>
      </c>
      <c r="G12" s="14">
        <f>+E12-F12</f>
        <v>0</v>
      </c>
      <c r="I12" s="64"/>
      <c r="J12" s="60">
        <f t="shared" si="6"/>
        <v>0</v>
      </c>
      <c r="K12" s="60">
        <f t="shared" si="7"/>
        <v>0</v>
      </c>
    </row>
    <row r="13" spans="2:13" ht="14.45" x14ac:dyDescent="0.3">
      <c r="B13" s="13"/>
      <c r="C13" s="12"/>
      <c r="D13" s="12"/>
      <c r="E13" s="64"/>
      <c r="F13" s="14">
        <f t="shared" si="0"/>
        <v>0</v>
      </c>
      <c r="G13" s="14">
        <f t="shared" ref="G13:G14" si="10">+E13-F13</f>
        <v>0</v>
      </c>
      <c r="I13" s="64">
        <v>48034</v>
      </c>
      <c r="J13" s="60">
        <f t="shared" si="6"/>
        <v>40028.333333333336</v>
      </c>
      <c r="K13" s="60">
        <f t="shared" si="7"/>
        <v>8005.6666666666642</v>
      </c>
    </row>
    <row r="14" spans="2:13" ht="14.45" x14ac:dyDescent="0.3">
      <c r="B14" s="13"/>
      <c r="C14" s="12"/>
      <c r="D14" s="12"/>
      <c r="E14" s="43"/>
      <c r="F14" s="14">
        <f t="shared" si="0"/>
        <v>0</v>
      </c>
      <c r="G14" s="14">
        <f t="shared" si="10"/>
        <v>0</v>
      </c>
    </row>
    <row r="15" spans="2:13" ht="14.45" x14ac:dyDescent="0.3">
      <c r="B15" s="13"/>
      <c r="C15" s="12"/>
      <c r="D15" s="12"/>
      <c r="E15" s="14"/>
      <c r="F15" s="14">
        <f t="shared" ref="F15:F22" si="11">+E15/1.2</f>
        <v>0</v>
      </c>
      <c r="G15" s="14">
        <f t="shared" ref="G15:G22" si="12">+E15-F15</f>
        <v>0</v>
      </c>
      <c r="I15" s="113" t="s">
        <v>41</v>
      </c>
      <c r="J15" s="113"/>
      <c r="K15" s="62">
        <f>SUM(K5:K13)</f>
        <v>76609.166666666657</v>
      </c>
      <c r="M15" s="5">
        <v>40970.366666666669</v>
      </c>
    </row>
    <row r="16" spans="2:13" s="72" customFormat="1" ht="14.45" x14ac:dyDescent="0.3">
      <c r="B16" s="13"/>
      <c r="C16" s="12"/>
      <c r="D16" s="12"/>
      <c r="E16" s="14"/>
      <c r="F16" s="14">
        <f t="shared" si="11"/>
        <v>0</v>
      </c>
      <c r="G16" s="14">
        <f t="shared" si="12"/>
        <v>0</v>
      </c>
      <c r="I16" s="71"/>
      <c r="J16" s="71"/>
      <c r="K16" s="62"/>
      <c r="M16" s="5">
        <v>3414.1972222222225</v>
      </c>
    </row>
    <row r="17" spans="2:13" s="72" customFormat="1" ht="14.45" x14ac:dyDescent="0.3">
      <c r="B17" s="13"/>
      <c r="C17" s="12"/>
      <c r="D17" s="12"/>
      <c r="E17" s="14"/>
      <c r="F17" s="14">
        <f t="shared" si="11"/>
        <v>0</v>
      </c>
      <c r="G17" s="14">
        <f t="shared" si="12"/>
        <v>0</v>
      </c>
      <c r="I17" s="71"/>
      <c r="J17" s="71"/>
      <c r="K17" s="62"/>
      <c r="M17" s="5"/>
    </row>
    <row r="18" spans="2:13" s="72" customFormat="1" ht="14.45" x14ac:dyDescent="0.3">
      <c r="B18" s="13"/>
      <c r="C18" s="12"/>
      <c r="D18" s="12"/>
      <c r="E18" s="14"/>
      <c r="F18" s="14">
        <f t="shared" si="11"/>
        <v>0</v>
      </c>
      <c r="G18" s="14">
        <f t="shared" si="12"/>
        <v>0</v>
      </c>
      <c r="I18" s="71"/>
      <c r="J18" s="71"/>
      <c r="K18" s="62"/>
      <c r="M18" s="5"/>
    </row>
    <row r="19" spans="2:13" s="72" customFormat="1" ht="14.45" x14ac:dyDescent="0.3">
      <c r="B19" s="13"/>
      <c r="C19" s="12"/>
      <c r="D19" s="12"/>
      <c r="E19" s="14"/>
      <c r="F19" s="14">
        <f t="shared" si="11"/>
        <v>0</v>
      </c>
      <c r="G19" s="14">
        <f t="shared" si="12"/>
        <v>0</v>
      </c>
      <c r="I19" s="71"/>
      <c r="J19" s="71"/>
      <c r="K19" s="62"/>
      <c r="M19" s="5"/>
    </row>
    <row r="20" spans="2:13" s="72" customFormat="1" ht="14.45" x14ac:dyDescent="0.3">
      <c r="B20" s="13"/>
      <c r="C20" s="12"/>
      <c r="D20" s="12"/>
      <c r="E20" s="14"/>
      <c r="F20" s="14"/>
      <c r="G20" s="14"/>
      <c r="I20" s="71"/>
      <c r="J20" s="71"/>
      <c r="K20" s="62"/>
      <c r="M20" s="5"/>
    </row>
    <row r="21" spans="2:13" s="72" customFormat="1" ht="14.45" x14ac:dyDescent="0.3">
      <c r="B21" s="13"/>
      <c r="C21" s="12"/>
      <c r="D21" s="12"/>
      <c r="E21" s="14"/>
      <c r="F21" s="14"/>
      <c r="G21" s="14"/>
      <c r="I21" s="71"/>
      <c r="J21" s="71"/>
      <c r="K21" s="62"/>
      <c r="M21" s="5"/>
    </row>
    <row r="22" spans="2:13" ht="14.45" x14ac:dyDescent="0.3">
      <c r="B22" s="13"/>
      <c r="C22" s="12"/>
      <c r="D22" s="12"/>
      <c r="E22" s="14"/>
      <c r="F22" s="14">
        <f t="shared" si="11"/>
        <v>0</v>
      </c>
      <c r="G22" s="14">
        <f t="shared" si="12"/>
        <v>0</v>
      </c>
      <c r="K22" s="65"/>
    </row>
    <row r="23" spans="2:13" ht="14.45" x14ac:dyDescent="0.3">
      <c r="B23" s="111" t="s">
        <v>41</v>
      </c>
      <c r="C23" s="112"/>
      <c r="D23" s="33"/>
      <c r="E23" s="29">
        <f>SUM(E5:E22)</f>
        <v>227757</v>
      </c>
      <c r="F23" s="29">
        <f>SUM(F5:F22)</f>
        <v>189797.5</v>
      </c>
      <c r="G23" s="29">
        <f>SUM(G5:G22)</f>
        <v>37959.5</v>
      </c>
    </row>
    <row r="24" spans="2:13" ht="14.45" x14ac:dyDescent="0.3">
      <c r="E24" s="5"/>
      <c r="F24" s="5"/>
      <c r="G24" s="5"/>
    </row>
    <row r="25" spans="2:13" ht="14.45" x14ac:dyDescent="0.3">
      <c r="E25" s="5"/>
      <c r="F25" s="5"/>
      <c r="G25" s="5"/>
    </row>
    <row r="26" spans="2:13" ht="17.45" x14ac:dyDescent="0.35">
      <c r="B26" s="110" t="s">
        <v>32</v>
      </c>
      <c r="C26" s="110"/>
      <c r="D26" s="28"/>
      <c r="E26" s="15"/>
      <c r="F26" s="15">
        <f>ROUNDUP(SUM(F5:F22),-1)</f>
        <v>189800</v>
      </c>
      <c r="G26" s="5"/>
      <c r="H26" s="5" t="str">
        <f>+DECLARATION!E46</f>
        <v/>
      </c>
    </row>
    <row r="27" spans="2:13" ht="17.45" x14ac:dyDescent="0.35">
      <c r="B27" s="110" t="s">
        <v>33</v>
      </c>
      <c r="C27" s="110"/>
      <c r="D27" s="28"/>
      <c r="E27" s="15"/>
      <c r="F27" s="15">
        <f>+F26*0.2</f>
        <v>37960</v>
      </c>
      <c r="G27" s="5">
        <f>+SUM(G5:G22)-F27</f>
        <v>-0.5</v>
      </c>
    </row>
    <row r="28" spans="2:13" ht="14.45" x14ac:dyDescent="0.3">
      <c r="E28" s="5"/>
      <c r="F28" s="5"/>
      <c r="G28" s="5"/>
    </row>
    <row r="29" spans="2:13" ht="14.45" x14ac:dyDescent="0.3">
      <c r="E29" s="5"/>
      <c r="F29" s="5"/>
      <c r="G29" s="5"/>
    </row>
    <row r="30" spans="2:13" ht="14.45" x14ac:dyDescent="0.3">
      <c r="E30" s="5"/>
      <c r="F30" s="5"/>
      <c r="G30" s="5"/>
    </row>
    <row r="31" spans="2:13" ht="14.45" x14ac:dyDescent="0.3">
      <c r="E31" s="5"/>
      <c r="F31" s="5"/>
      <c r="G31" s="5"/>
    </row>
    <row r="32" spans="2:13" ht="14.45" x14ac:dyDescent="0.3">
      <c r="E32" s="5"/>
      <c r="F32" s="5"/>
      <c r="G32" s="5"/>
    </row>
    <row r="33" spans="5:10" ht="14.45" x14ac:dyDescent="0.3">
      <c r="E33" s="5"/>
      <c r="F33" s="5"/>
      <c r="G33" s="5"/>
      <c r="I33" t="s">
        <v>61</v>
      </c>
      <c r="J33" s="5">
        <f>+DECLARATION!E45</f>
        <v>2137</v>
      </c>
    </row>
    <row r="34" spans="5:10" ht="14.45" x14ac:dyDescent="0.3">
      <c r="E34" s="5"/>
      <c r="F34" s="5"/>
      <c r="G34" s="5"/>
    </row>
    <row r="35" spans="5:10" ht="14.45" x14ac:dyDescent="0.3">
      <c r="E35" s="5"/>
      <c r="F35" s="5"/>
      <c r="G35" s="5"/>
      <c r="J35" s="5"/>
    </row>
    <row r="36" spans="5:10" ht="14.45" x14ac:dyDescent="0.3">
      <c r="E36" s="5"/>
      <c r="F36" s="5"/>
      <c r="G36" s="5"/>
    </row>
    <row r="37" spans="5:10" ht="14.45" x14ac:dyDescent="0.3">
      <c r="E37" s="5"/>
      <c r="F37" s="5"/>
      <c r="G37" s="5"/>
    </row>
    <row r="38" spans="5:10" ht="14.45" x14ac:dyDescent="0.3">
      <c r="E38" s="5"/>
      <c r="F38" s="5"/>
      <c r="G38" s="5"/>
    </row>
    <row r="39" spans="5:10" ht="14.45" x14ac:dyDescent="0.3">
      <c r="E39" s="5"/>
      <c r="F39" s="5"/>
      <c r="G39" s="5"/>
    </row>
    <row r="40" spans="5:10" ht="14.45" x14ac:dyDescent="0.3">
      <c r="E40" s="5"/>
      <c r="F40" s="5"/>
      <c r="G40" s="5"/>
    </row>
  </sheetData>
  <mergeCells count="4">
    <mergeCell ref="B26:C26"/>
    <mergeCell ref="B27:C27"/>
    <mergeCell ref="B23:C23"/>
    <mergeCell ref="I15:J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B1:P47"/>
  <sheetViews>
    <sheetView tabSelected="1" zoomScale="70" zoomScaleNormal="70" zoomScaleSheetLayoutView="90" workbookViewId="0">
      <selection activeCell="I17" sqref="I17"/>
    </sheetView>
  </sheetViews>
  <sheetFormatPr baseColWidth="10" defaultRowHeight="15" x14ac:dyDescent="0.25"/>
  <cols>
    <col min="1" max="1" width="2.140625" customWidth="1"/>
    <col min="2" max="2" width="3.7109375" bestFit="1" customWidth="1"/>
    <col min="3" max="3" width="21.42578125" bestFit="1" customWidth="1"/>
    <col min="4" max="4" width="22.28515625" bestFit="1" customWidth="1"/>
    <col min="5" max="5" width="22.7109375" style="5" customWidth="1"/>
    <col min="6" max="6" width="16.28515625" style="5" bestFit="1" customWidth="1"/>
    <col min="7" max="7" width="17.7109375" style="5" bestFit="1" customWidth="1"/>
    <col min="8" max="8" width="10" bestFit="1" customWidth="1"/>
    <col min="9" max="9" width="23.85546875" bestFit="1" customWidth="1"/>
    <col min="10" max="10" width="18.140625" bestFit="1" customWidth="1"/>
    <col min="11" max="11" width="5.85546875" style="19" bestFit="1" customWidth="1"/>
    <col min="12" max="12" width="7.85546875" style="10" bestFit="1" customWidth="1"/>
    <col min="13" max="14" width="11.7109375" bestFit="1" customWidth="1"/>
    <col min="15" max="15" width="12.5703125" bestFit="1" customWidth="1"/>
    <col min="16" max="16" width="11.5703125" bestFit="1" customWidth="1"/>
  </cols>
  <sheetData>
    <row r="1" spans="2:16" ht="14.45" x14ac:dyDescent="0.3">
      <c r="C1" s="98" t="s">
        <v>111</v>
      </c>
      <c r="E1" s="114" t="s">
        <v>338</v>
      </c>
      <c r="F1" s="114"/>
      <c r="G1" s="114"/>
      <c r="H1" s="114"/>
      <c r="I1" s="114"/>
      <c r="J1" s="114"/>
    </row>
    <row r="3" spans="2:16" ht="15.75" thickBot="1" x14ac:dyDescent="0.3">
      <c r="B3" s="16" t="s">
        <v>16</v>
      </c>
      <c r="C3" s="16" t="s">
        <v>17</v>
      </c>
      <c r="D3" s="16" t="s">
        <v>15</v>
      </c>
      <c r="E3" s="20" t="s">
        <v>2</v>
      </c>
      <c r="F3" s="20" t="s">
        <v>3</v>
      </c>
      <c r="G3" s="20" t="s">
        <v>18</v>
      </c>
      <c r="H3" s="16" t="s">
        <v>7</v>
      </c>
      <c r="I3" s="16" t="s">
        <v>19</v>
      </c>
      <c r="J3" s="16" t="s">
        <v>21</v>
      </c>
      <c r="K3" s="18" t="s">
        <v>4</v>
      </c>
      <c r="L3" s="16" t="s">
        <v>20</v>
      </c>
      <c r="M3" s="16" t="s">
        <v>5</v>
      </c>
      <c r="N3" s="17" t="s">
        <v>6</v>
      </c>
      <c r="O3" s="17" t="s">
        <v>112</v>
      </c>
      <c r="P3" s="46" t="s">
        <v>135</v>
      </c>
    </row>
    <row r="4" spans="2:16" ht="15.75" thickTop="1" x14ac:dyDescent="0.25">
      <c r="B4" s="73">
        <v>1</v>
      </c>
      <c r="C4" s="74" t="s">
        <v>351</v>
      </c>
      <c r="D4" s="78" t="s">
        <v>350</v>
      </c>
      <c r="E4" s="75">
        <f t="shared" ref="E4" si="0">+G4/(1+K4)</f>
        <v>200</v>
      </c>
      <c r="F4" s="75">
        <f t="shared" ref="F4" si="1">+G4-E4</f>
        <v>40</v>
      </c>
      <c r="G4" s="76">
        <v>240</v>
      </c>
      <c r="H4" s="73" t="e">
        <f t="shared" ref="H4" si="2">VLOOKUP(I4,FRS,2,0)</f>
        <v>#N/A</v>
      </c>
      <c r="I4" s="77" t="s">
        <v>339</v>
      </c>
      <c r="J4" s="78" t="e">
        <f t="shared" ref="J4" si="3">VLOOKUP(I4,FRS,3,0)</f>
        <v>#N/A</v>
      </c>
      <c r="K4" s="79">
        <v>0.2</v>
      </c>
      <c r="L4" s="73">
        <f t="shared" ref="L4" si="4">VLOOKUP(O4,CODE,2,0)</f>
        <v>2</v>
      </c>
      <c r="M4" s="80">
        <v>44144</v>
      </c>
      <c r="N4" s="80"/>
      <c r="O4" s="78" t="s">
        <v>48</v>
      </c>
      <c r="P4" s="81">
        <v>949535</v>
      </c>
    </row>
    <row r="5" spans="2:16" s="86" customFormat="1" x14ac:dyDescent="0.25">
      <c r="B5" s="73">
        <v>3</v>
      </c>
      <c r="C5" s="74" t="s">
        <v>354</v>
      </c>
      <c r="D5" s="54" t="s">
        <v>355</v>
      </c>
      <c r="E5" s="75">
        <f t="shared" ref="E5" si="5">+G5/(1+K5)</f>
        <v>17425</v>
      </c>
      <c r="F5" s="75">
        <f t="shared" ref="F5" si="6">+G5-E5</f>
        <v>3485</v>
      </c>
      <c r="G5" s="76">
        <v>20910</v>
      </c>
      <c r="H5" s="73">
        <f t="shared" ref="H5" si="7">VLOOKUP(I5,FRS,2,0)</f>
        <v>24844688</v>
      </c>
      <c r="I5" s="96" t="s">
        <v>298</v>
      </c>
      <c r="J5" s="78" t="str">
        <f t="shared" ref="J5" si="8">VLOOKUP(I5,FRS,3,0)</f>
        <v>001976385000021</v>
      </c>
      <c r="K5" s="79">
        <v>0.2</v>
      </c>
      <c r="L5" s="73">
        <f t="shared" ref="L5" si="9">VLOOKUP(O5,CODE,2,0)</f>
        <v>2</v>
      </c>
      <c r="M5" s="80">
        <v>44147</v>
      </c>
      <c r="N5" s="80"/>
      <c r="O5" s="78" t="s">
        <v>48</v>
      </c>
      <c r="P5" s="81">
        <v>949529</v>
      </c>
    </row>
    <row r="6" spans="2:16" s="95" customFormat="1" x14ac:dyDescent="0.25">
      <c r="B6" s="73">
        <v>4</v>
      </c>
      <c r="C6" s="74" t="s">
        <v>356</v>
      </c>
      <c r="D6" s="54" t="s">
        <v>357</v>
      </c>
      <c r="E6" s="75">
        <f t="shared" ref="E6:E25" si="10">+G6/(1+K6)</f>
        <v>26337.674999999999</v>
      </c>
      <c r="F6" s="75">
        <f t="shared" ref="F6:F25" si="11">+G6-E6</f>
        <v>5267.5349999999999</v>
      </c>
      <c r="G6" s="76">
        <v>31605.21</v>
      </c>
      <c r="H6" s="73">
        <f t="shared" ref="H6:H22" si="12">VLOOKUP(I6,FRS,2,0)</f>
        <v>20752123</v>
      </c>
      <c r="I6" s="96" t="s">
        <v>188</v>
      </c>
      <c r="J6" s="78" t="str">
        <f t="shared" ref="J6:J22" si="13">VLOOKUP(I6,FRS,3,0)</f>
        <v>001810561000040</v>
      </c>
      <c r="K6" s="79">
        <v>0.2</v>
      </c>
      <c r="L6" s="73">
        <f t="shared" ref="L6:L22" si="14">VLOOKUP(O6,CODE,2,0)</f>
        <v>2</v>
      </c>
      <c r="M6" s="80">
        <v>44147</v>
      </c>
      <c r="N6" s="80"/>
      <c r="O6" s="78" t="s">
        <v>48</v>
      </c>
      <c r="P6" s="81">
        <v>949522</v>
      </c>
    </row>
    <row r="7" spans="2:16" s="95" customFormat="1" x14ac:dyDescent="0.25">
      <c r="B7" s="73">
        <v>5</v>
      </c>
      <c r="C7" s="74"/>
      <c r="D7" s="54"/>
      <c r="E7" s="75">
        <f t="shared" si="10"/>
        <v>1457.5</v>
      </c>
      <c r="F7" s="75">
        <f t="shared" si="11"/>
        <v>291.5</v>
      </c>
      <c r="G7" s="76">
        <v>1749</v>
      </c>
      <c r="H7" s="73">
        <f t="shared" si="12"/>
        <v>24844688</v>
      </c>
      <c r="I7" s="96" t="s">
        <v>298</v>
      </c>
      <c r="J7" s="78" t="str">
        <f t="shared" si="13"/>
        <v>001976385000021</v>
      </c>
      <c r="K7" s="79">
        <v>0.2</v>
      </c>
      <c r="L7" s="73">
        <f t="shared" si="14"/>
        <v>2</v>
      </c>
      <c r="M7" s="80">
        <v>44151</v>
      </c>
      <c r="N7" s="80"/>
      <c r="O7" s="78" t="s">
        <v>48</v>
      </c>
      <c r="P7" s="81">
        <v>949529</v>
      </c>
    </row>
    <row r="8" spans="2:16" s="95" customFormat="1" x14ac:dyDescent="0.25">
      <c r="B8" s="73">
        <v>6</v>
      </c>
      <c r="C8" s="74" t="s">
        <v>352</v>
      </c>
      <c r="D8" s="54" t="s">
        <v>353</v>
      </c>
      <c r="E8" s="75">
        <f t="shared" si="10"/>
        <v>36900</v>
      </c>
      <c r="F8" s="75">
        <f t="shared" si="11"/>
        <v>7380</v>
      </c>
      <c r="G8" s="76">
        <v>44280</v>
      </c>
      <c r="H8" s="73">
        <f t="shared" si="12"/>
        <v>1622350</v>
      </c>
      <c r="I8" s="96" t="s">
        <v>62</v>
      </c>
      <c r="J8" s="78" t="str">
        <f t="shared" si="13"/>
        <v>001526705000085</v>
      </c>
      <c r="K8" s="79">
        <v>0.2</v>
      </c>
      <c r="L8" s="73">
        <f t="shared" si="14"/>
        <v>2</v>
      </c>
      <c r="M8" s="80">
        <v>44151</v>
      </c>
      <c r="N8" s="80"/>
      <c r="O8" s="78" t="s">
        <v>48</v>
      </c>
      <c r="P8" s="81">
        <v>949532</v>
      </c>
    </row>
    <row r="9" spans="2:16" s="97" customFormat="1" x14ac:dyDescent="0.25">
      <c r="B9" s="73">
        <v>7</v>
      </c>
      <c r="C9" s="74"/>
      <c r="D9" s="78"/>
      <c r="E9" s="75">
        <f t="shared" ref="E9:E21" si="15">+G9/(1+K9)</f>
        <v>1800</v>
      </c>
      <c r="F9" s="75">
        <f t="shared" ref="F9:F21" si="16">+G9-E9</f>
        <v>360</v>
      </c>
      <c r="G9" s="76">
        <v>2160</v>
      </c>
      <c r="H9" s="73" t="e">
        <f t="shared" ref="H9:H21" si="17">VLOOKUP(I9,FRS,2,0)</f>
        <v>#N/A</v>
      </c>
      <c r="I9" s="77" t="s">
        <v>341</v>
      </c>
      <c r="J9" s="78" t="e">
        <f t="shared" ref="J9:J21" si="18">VLOOKUP(I9,FRS,3,0)</f>
        <v>#N/A</v>
      </c>
      <c r="K9" s="79">
        <v>0.2</v>
      </c>
      <c r="L9" s="73">
        <f t="shared" ref="L9:L21" si="19">VLOOKUP(O9,CODE,2,0)</f>
        <v>2</v>
      </c>
      <c r="M9" s="80">
        <v>44152</v>
      </c>
      <c r="N9" s="80"/>
      <c r="O9" s="78" t="s">
        <v>48</v>
      </c>
      <c r="P9" s="81">
        <v>949536</v>
      </c>
    </row>
    <row r="10" spans="2:16" s="97" customFormat="1" x14ac:dyDescent="0.25">
      <c r="B10" s="73">
        <v>8</v>
      </c>
      <c r="C10" s="74" t="s">
        <v>342</v>
      </c>
      <c r="D10" s="78" t="s">
        <v>343</v>
      </c>
      <c r="E10" s="75">
        <f t="shared" si="15"/>
        <v>12150</v>
      </c>
      <c r="F10" s="75">
        <f t="shared" si="16"/>
        <v>2430</v>
      </c>
      <c r="G10" s="76">
        <v>14580</v>
      </c>
      <c r="H10" s="73">
        <f t="shared" si="17"/>
        <v>1107498</v>
      </c>
      <c r="I10" s="77" t="s">
        <v>115</v>
      </c>
      <c r="J10" s="78" t="str">
        <f t="shared" si="18"/>
        <v>001529928000073</v>
      </c>
      <c r="K10" s="79">
        <v>0.2</v>
      </c>
      <c r="L10" s="73">
        <f t="shared" si="19"/>
        <v>2</v>
      </c>
      <c r="M10" s="80">
        <v>44152</v>
      </c>
      <c r="N10" s="80"/>
      <c r="O10" s="78" t="s">
        <v>48</v>
      </c>
      <c r="P10" s="81">
        <v>949537</v>
      </c>
    </row>
    <row r="11" spans="2:16" s="97" customFormat="1" x14ac:dyDescent="0.25">
      <c r="B11" s="73">
        <v>9</v>
      </c>
      <c r="C11" s="74"/>
      <c r="D11" s="78"/>
      <c r="E11" s="75">
        <f t="shared" si="15"/>
        <v>416.5</v>
      </c>
      <c r="F11" s="75">
        <f t="shared" si="16"/>
        <v>83.300000000000011</v>
      </c>
      <c r="G11" s="76">
        <v>499.8</v>
      </c>
      <c r="H11" s="73">
        <f t="shared" si="17"/>
        <v>3332162</v>
      </c>
      <c r="I11" s="77" t="s">
        <v>68</v>
      </c>
      <c r="J11" s="78" t="str">
        <f t="shared" si="18"/>
        <v>001522585000066</v>
      </c>
      <c r="K11" s="79">
        <v>0.2</v>
      </c>
      <c r="L11" s="73">
        <f t="shared" si="19"/>
        <v>3</v>
      </c>
      <c r="M11" s="80">
        <v>44151</v>
      </c>
      <c r="N11" s="80"/>
      <c r="O11" s="78" t="s">
        <v>49</v>
      </c>
      <c r="P11" s="81"/>
    </row>
    <row r="12" spans="2:16" s="97" customFormat="1" ht="14.45" hidden="1" x14ac:dyDescent="0.3">
      <c r="B12" s="73">
        <v>10</v>
      </c>
      <c r="C12" s="74" t="s">
        <v>340</v>
      </c>
      <c r="D12" s="78" t="s">
        <v>288</v>
      </c>
      <c r="E12" s="75">
        <f t="shared" si="15"/>
        <v>104.54545454545453</v>
      </c>
      <c r="F12" s="75">
        <f t="shared" si="16"/>
        <v>10.454545454545467</v>
      </c>
      <c r="G12" s="76">
        <v>115</v>
      </c>
      <c r="H12" s="73">
        <f t="shared" si="17"/>
        <v>1085466</v>
      </c>
      <c r="I12" s="96" t="s">
        <v>46</v>
      </c>
      <c r="J12" s="78" t="str">
        <f t="shared" si="18"/>
        <v>000102564000025</v>
      </c>
      <c r="K12" s="79">
        <v>0.1</v>
      </c>
      <c r="L12" s="73">
        <f t="shared" si="19"/>
        <v>3</v>
      </c>
      <c r="M12" s="80">
        <v>44144</v>
      </c>
      <c r="N12" s="80">
        <v>44144</v>
      </c>
      <c r="O12" s="78" t="s">
        <v>49</v>
      </c>
      <c r="P12" s="81"/>
    </row>
    <row r="13" spans="2:16" s="97" customFormat="1" x14ac:dyDescent="0.25">
      <c r="B13" s="73">
        <v>11</v>
      </c>
      <c r="C13" s="74"/>
      <c r="D13" s="78"/>
      <c r="E13" s="75">
        <f t="shared" si="15"/>
        <v>74020.833333333343</v>
      </c>
      <c r="F13" s="75">
        <f t="shared" si="16"/>
        <v>14804.166666666657</v>
      </c>
      <c r="G13" s="76">
        <v>88825</v>
      </c>
      <c r="H13" s="73" t="str">
        <f t="shared" si="17"/>
        <v>40259092</v>
      </c>
      <c r="I13" s="96" t="s">
        <v>276</v>
      </c>
      <c r="J13" s="78" t="str">
        <f t="shared" si="18"/>
        <v>001511597000019</v>
      </c>
      <c r="K13" s="79">
        <v>0.2</v>
      </c>
      <c r="L13" s="73">
        <f t="shared" si="19"/>
        <v>4</v>
      </c>
      <c r="M13" s="80">
        <v>44155</v>
      </c>
      <c r="N13" s="80"/>
      <c r="O13" s="78" t="s">
        <v>54</v>
      </c>
      <c r="P13" s="81"/>
    </row>
    <row r="14" spans="2:16" s="101" customFormat="1" x14ac:dyDescent="0.25">
      <c r="B14" s="73">
        <v>12</v>
      </c>
      <c r="C14" s="74" t="s">
        <v>344</v>
      </c>
      <c r="D14" s="78" t="s">
        <v>345</v>
      </c>
      <c r="E14" s="75">
        <f t="shared" ref="E14" si="20">+G14/(1+K14)</f>
        <v>1780</v>
      </c>
      <c r="F14" s="75">
        <f t="shared" ref="F14" si="21">+G14-E14</f>
        <v>356</v>
      </c>
      <c r="G14" s="76">
        <v>2136</v>
      </c>
      <c r="H14" s="73">
        <f t="shared" ref="H14" si="22">VLOOKUP(I14,FRS,2,0)</f>
        <v>40484537</v>
      </c>
      <c r="I14" s="96" t="s">
        <v>64</v>
      </c>
      <c r="J14" s="78" t="str">
        <f t="shared" ref="J14" si="23">VLOOKUP(I14,FRS,3,0)</f>
        <v>000199198000013</v>
      </c>
      <c r="K14" s="79">
        <v>0.2</v>
      </c>
      <c r="L14" s="73">
        <f t="shared" ref="L14" si="24">VLOOKUP(O14,CODE,2,0)</f>
        <v>4</v>
      </c>
      <c r="M14" s="80">
        <v>44165</v>
      </c>
      <c r="N14" s="80"/>
      <c r="O14" s="78" t="s">
        <v>54</v>
      </c>
      <c r="P14" s="81"/>
    </row>
    <row r="15" spans="2:16" s="101" customFormat="1" x14ac:dyDescent="0.25">
      <c r="B15" s="73">
        <v>12</v>
      </c>
      <c r="C15" s="74" t="s">
        <v>347</v>
      </c>
      <c r="D15" s="78" t="s">
        <v>346</v>
      </c>
      <c r="E15" s="75">
        <f t="shared" ref="E15" si="25">+G15/(1+K15)</f>
        <v>1995</v>
      </c>
      <c r="F15" s="75">
        <f t="shared" ref="F15" si="26">+G15-E15</f>
        <v>399</v>
      </c>
      <c r="G15" s="76">
        <v>2394</v>
      </c>
      <c r="H15" s="73">
        <f t="shared" ref="H15" si="27">VLOOKUP(I15,FRS,2,0)</f>
        <v>40484537</v>
      </c>
      <c r="I15" s="96" t="s">
        <v>64</v>
      </c>
      <c r="J15" s="78" t="str">
        <f t="shared" ref="J15" si="28">VLOOKUP(I15,FRS,3,0)</f>
        <v>000199198000013</v>
      </c>
      <c r="K15" s="79">
        <v>0.2</v>
      </c>
      <c r="L15" s="73">
        <f t="shared" ref="L15" si="29">VLOOKUP(O15,CODE,2,0)</f>
        <v>4</v>
      </c>
      <c r="M15" s="80">
        <v>44165</v>
      </c>
      <c r="N15" s="80"/>
      <c r="O15" s="78" t="s">
        <v>54</v>
      </c>
      <c r="P15" s="81"/>
    </row>
    <row r="16" spans="2:16" s="97" customFormat="1" x14ac:dyDescent="0.25">
      <c r="B16" s="73">
        <v>12</v>
      </c>
      <c r="C16" s="74" t="s">
        <v>349</v>
      </c>
      <c r="D16" s="78" t="s">
        <v>348</v>
      </c>
      <c r="E16" s="75">
        <f t="shared" si="15"/>
        <v>2083</v>
      </c>
      <c r="F16" s="75">
        <f t="shared" si="16"/>
        <v>416.59999999999991</v>
      </c>
      <c r="G16" s="76">
        <v>2499.6</v>
      </c>
      <c r="H16" s="73">
        <f t="shared" si="17"/>
        <v>40484537</v>
      </c>
      <c r="I16" s="96" t="s">
        <v>64</v>
      </c>
      <c r="J16" s="78" t="str">
        <f t="shared" si="18"/>
        <v>000199198000013</v>
      </c>
      <c r="K16" s="79">
        <v>0.2</v>
      </c>
      <c r="L16" s="73">
        <f t="shared" si="19"/>
        <v>4</v>
      </c>
      <c r="M16" s="80">
        <v>44165</v>
      </c>
      <c r="N16" s="80"/>
      <c r="O16" s="78" t="s">
        <v>54</v>
      </c>
      <c r="P16" s="81"/>
    </row>
    <row r="17" spans="2:16" s="97" customFormat="1" ht="14.45" x14ac:dyDescent="0.3">
      <c r="B17" s="73">
        <v>13</v>
      </c>
      <c r="C17" s="74"/>
      <c r="D17" s="78"/>
      <c r="E17" s="75">
        <f t="shared" si="15"/>
        <v>2500</v>
      </c>
      <c r="F17" s="75">
        <f t="shared" si="16"/>
        <v>500</v>
      </c>
      <c r="G17" s="76">
        <v>3000</v>
      </c>
      <c r="H17" s="73">
        <f t="shared" si="17"/>
        <v>40394796</v>
      </c>
      <c r="I17" s="77" t="s">
        <v>63</v>
      </c>
      <c r="J17" s="78" t="str">
        <f t="shared" si="18"/>
        <v>000098243000001</v>
      </c>
      <c r="K17" s="79">
        <v>0.2</v>
      </c>
      <c r="L17" s="73">
        <f t="shared" si="19"/>
        <v>4</v>
      </c>
      <c r="M17" s="80">
        <v>44140</v>
      </c>
      <c r="N17" s="80"/>
      <c r="O17" s="78" t="s">
        <v>54</v>
      </c>
      <c r="P17" s="81"/>
    </row>
    <row r="18" spans="2:16" s="97" customFormat="1" ht="14.45" x14ac:dyDescent="0.3">
      <c r="B18" s="73">
        <v>14</v>
      </c>
      <c r="C18" s="74"/>
      <c r="D18" s="78"/>
      <c r="E18" s="75">
        <f t="shared" si="15"/>
        <v>0</v>
      </c>
      <c r="F18" s="75">
        <f t="shared" si="16"/>
        <v>0</v>
      </c>
      <c r="G18" s="76"/>
      <c r="H18" s="73" t="e">
        <f t="shared" si="17"/>
        <v>#N/A</v>
      </c>
      <c r="I18" s="77"/>
      <c r="J18" s="78" t="e">
        <f t="shared" si="18"/>
        <v>#N/A</v>
      </c>
      <c r="K18" s="79"/>
      <c r="L18" s="73" t="e">
        <f t="shared" si="19"/>
        <v>#N/A</v>
      </c>
      <c r="M18" s="80"/>
      <c r="N18" s="80"/>
      <c r="O18" s="78"/>
      <c r="P18" s="81"/>
    </row>
    <row r="19" spans="2:16" s="97" customFormat="1" ht="14.45" x14ac:dyDescent="0.3">
      <c r="B19" s="73">
        <v>15</v>
      </c>
      <c r="C19" s="74"/>
      <c r="D19" s="78"/>
      <c r="E19" s="75">
        <f t="shared" si="15"/>
        <v>0</v>
      </c>
      <c r="F19" s="75">
        <f t="shared" si="16"/>
        <v>0</v>
      </c>
      <c r="G19" s="76"/>
      <c r="H19" s="73" t="e">
        <f t="shared" si="17"/>
        <v>#N/A</v>
      </c>
      <c r="I19" s="77"/>
      <c r="J19" s="78" t="e">
        <f t="shared" si="18"/>
        <v>#N/A</v>
      </c>
      <c r="K19" s="79"/>
      <c r="L19" s="73" t="e">
        <f t="shared" si="19"/>
        <v>#N/A</v>
      </c>
      <c r="M19" s="80"/>
      <c r="N19" s="80"/>
      <c r="O19" s="78"/>
      <c r="P19" s="81"/>
    </row>
    <row r="20" spans="2:16" s="97" customFormat="1" ht="14.45" x14ac:dyDescent="0.3">
      <c r="B20" s="73">
        <v>16</v>
      </c>
      <c r="C20" s="74"/>
      <c r="D20" s="54"/>
      <c r="E20" s="75">
        <f t="shared" si="15"/>
        <v>0</v>
      </c>
      <c r="F20" s="75">
        <f t="shared" si="16"/>
        <v>0</v>
      </c>
      <c r="G20" s="76"/>
      <c r="H20" s="73" t="e">
        <f t="shared" si="17"/>
        <v>#N/A</v>
      </c>
      <c r="I20" s="96"/>
      <c r="J20" s="78" t="e">
        <f t="shared" si="18"/>
        <v>#N/A</v>
      </c>
      <c r="K20" s="79"/>
      <c r="L20" s="73" t="e">
        <f t="shared" si="19"/>
        <v>#N/A</v>
      </c>
      <c r="M20" s="80"/>
      <c r="N20" s="80"/>
      <c r="O20" s="78"/>
      <c r="P20" s="81"/>
    </row>
    <row r="21" spans="2:16" s="97" customFormat="1" ht="14.45" x14ac:dyDescent="0.3">
      <c r="B21" s="73">
        <v>17</v>
      </c>
      <c r="C21" s="74"/>
      <c r="D21" s="54"/>
      <c r="E21" s="75">
        <f t="shared" si="15"/>
        <v>0</v>
      </c>
      <c r="F21" s="75">
        <f t="shared" si="16"/>
        <v>0</v>
      </c>
      <c r="G21" s="76"/>
      <c r="H21" s="73" t="e">
        <f t="shared" si="17"/>
        <v>#N/A</v>
      </c>
      <c r="I21" s="96"/>
      <c r="J21" s="78" t="e">
        <f t="shared" si="18"/>
        <v>#N/A</v>
      </c>
      <c r="K21" s="79"/>
      <c r="L21" s="73" t="e">
        <f t="shared" si="19"/>
        <v>#N/A</v>
      </c>
      <c r="M21" s="80"/>
      <c r="N21" s="80"/>
      <c r="O21" s="78"/>
      <c r="P21" s="81"/>
    </row>
    <row r="22" spans="2:16" s="95" customFormat="1" ht="14.45" x14ac:dyDescent="0.3">
      <c r="B22" s="73">
        <v>18</v>
      </c>
      <c r="C22" s="74"/>
      <c r="D22" s="78"/>
      <c r="E22" s="75">
        <f t="shared" si="10"/>
        <v>0</v>
      </c>
      <c r="F22" s="75">
        <f t="shared" si="11"/>
        <v>0</v>
      </c>
      <c r="G22" s="76"/>
      <c r="H22" s="73" t="e">
        <f t="shared" si="12"/>
        <v>#N/A</v>
      </c>
      <c r="I22" s="77"/>
      <c r="J22" s="78" t="e">
        <f t="shared" si="13"/>
        <v>#N/A</v>
      </c>
      <c r="K22" s="79"/>
      <c r="L22" s="73" t="e">
        <f t="shared" si="14"/>
        <v>#N/A</v>
      </c>
      <c r="M22" s="80"/>
      <c r="N22" s="80"/>
      <c r="O22" s="78"/>
      <c r="P22" s="81"/>
    </row>
    <row r="23" spans="2:16" s="97" customFormat="1" ht="14.45" x14ac:dyDescent="0.3">
      <c r="B23" s="73">
        <v>19</v>
      </c>
      <c r="C23" s="74"/>
      <c r="D23" s="54"/>
      <c r="E23" s="75">
        <f t="shared" si="10"/>
        <v>0</v>
      </c>
      <c r="F23" s="75">
        <f t="shared" si="11"/>
        <v>0</v>
      </c>
      <c r="G23" s="76"/>
      <c r="H23" s="73" t="e">
        <f t="shared" ref="H23:H27" si="30">VLOOKUP(I23,FRS,2,0)</f>
        <v>#N/A</v>
      </c>
      <c r="I23" s="96"/>
      <c r="J23" s="78" t="e">
        <f t="shared" ref="J23:J27" si="31">VLOOKUP(I23,FRS,3,0)</f>
        <v>#N/A</v>
      </c>
      <c r="K23" s="79"/>
      <c r="L23" s="73" t="e">
        <f t="shared" ref="L23:L27" si="32">VLOOKUP(O23,CODE,2,0)</f>
        <v>#N/A</v>
      </c>
      <c r="M23" s="80"/>
      <c r="N23" s="80"/>
      <c r="O23" s="78"/>
      <c r="P23" s="81"/>
    </row>
    <row r="24" spans="2:16" s="97" customFormat="1" ht="14.45" x14ac:dyDescent="0.3">
      <c r="B24" s="73">
        <v>20</v>
      </c>
      <c r="C24" s="74"/>
      <c r="D24" s="54"/>
      <c r="E24" s="75">
        <f t="shared" si="10"/>
        <v>0</v>
      </c>
      <c r="F24" s="75">
        <f t="shared" si="11"/>
        <v>0</v>
      </c>
      <c r="G24" s="76"/>
      <c r="H24" s="73" t="e">
        <f t="shared" si="30"/>
        <v>#N/A</v>
      </c>
      <c r="I24" s="96"/>
      <c r="J24" s="78" t="e">
        <f t="shared" si="31"/>
        <v>#N/A</v>
      </c>
      <c r="K24" s="79"/>
      <c r="L24" s="73" t="e">
        <f t="shared" si="32"/>
        <v>#N/A</v>
      </c>
      <c r="M24" s="80"/>
      <c r="N24" s="80"/>
      <c r="O24" s="78"/>
      <c r="P24" s="81"/>
    </row>
    <row r="25" spans="2:16" s="97" customFormat="1" ht="14.45" x14ac:dyDescent="0.3">
      <c r="B25" s="73">
        <v>21</v>
      </c>
      <c r="C25" s="74"/>
      <c r="D25" s="54"/>
      <c r="E25" s="75">
        <f t="shared" si="10"/>
        <v>0</v>
      </c>
      <c r="F25" s="75">
        <f t="shared" si="11"/>
        <v>0</v>
      </c>
      <c r="G25" s="76"/>
      <c r="H25" s="73" t="e">
        <f t="shared" si="30"/>
        <v>#N/A</v>
      </c>
      <c r="I25" s="96"/>
      <c r="J25" s="78" t="e">
        <f t="shared" si="31"/>
        <v>#N/A</v>
      </c>
      <c r="K25" s="79"/>
      <c r="L25" s="73" t="e">
        <f t="shared" si="32"/>
        <v>#N/A</v>
      </c>
      <c r="M25" s="80"/>
      <c r="N25" s="80"/>
      <c r="O25" s="78"/>
      <c r="P25" s="81"/>
    </row>
    <row r="26" spans="2:16" s="97" customFormat="1" ht="14.45" x14ac:dyDescent="0.3">
      <c r="B26" s="73">
        <v>22</v>
      </c>
      <c r="C26" s="74"/>
      <c r="D26" s="78"/>
      <c r="E26" s="75">
        <f t="shared" ref="E26:E29" si="33">+G26/(1+K26)</f>
        <v>0</v>
      </c>
      <c r="F26" s="75">
        <f t="shared" ref="F26:F29" si="34">+G26-E26</f>
        <v>0</v>
      </c>
      <c r="G26" s="76"/>
      <c r="H26" s="73" t="e">
        <f t="shared" si="30"/>
        <v>#N/A</v>
      </c>
      <c r="I26" s="77"/>
      <c r="J26" s="78" t="e">
        <f t="shared" si="31"/>
        <v>#N/A</v>
      </c>
      <c r="K26" s="79"/>
      <c r="L26" s="73" t="e">
        <f t="shared" si="32"/>
        <v>#N/A</v>
      </c>
      <c r="M26" s="80"/>
      <c r="N26" s="80"/>
      <c r="O26" s="78"/>
      <c r="P26" s="81"/>
    </row>
    <row r="27" spans="2:16" s="97" customFormat="1" ht="14.45" x14ac:dyDescent="0.3">
      <c r="B27" s="73">
        <v>23</v>
      </c>
      <c r="C27" s="74"/>
      <c r="D27" s="78"/>
      <c r="E27" s="75">
        <f t="shared" si="33"/>
        <v>0</v>
      </c>
      <c r="F27" s="75">
        <f t="shared" si="34"/>
        <v>0</v>
      </c>
      <c r="G27" s="76"/>
      <c r="H27" s="73" t="e">
        <f t="shared" si="30"/>
        <v>#N/A</v>
      </c>
      <c r="I27" s="77"/>
      <c r="J27" s="78" t="e">
        <f t="shared" si="31"/>
        <v>#N/A</v>
      </c>
      <c r="K27" s="79"/>
      <c r="L27" s="73" t="e">
        <f t="shared" si="32"/>
        <v>#N/A</v>
      </c>
      <c r="M27" s="80"/>
      <c r="N27" s="80"/>
      <c r="O27" s="78"/>
      <c r="P27" s="81"/>
    </row>
    <row r="28" spans="2:16" s="97" customFormat="1" ht="14.45" x14ac:dyDescent="0.3">
      <c r="B28" s="73">
        <v>24</v>
      </c>
      <c r="C28" s="74"/>
      <c r="D28" s="78"/>
      <c r="E28" s="75">
        <f t="shared" si="33"/>
        <v>0</v>
      </c>
      <c r="F28" s="75">
        <f t="shared" si="34"/>
        <v>0</v>
      </c>
      <c r="G28" s="76"/>
      <c r="H28" s="73" t="e">
        <f t="shared" ref="H28:H35" si="35">VLOOKUP(I28,FRS,2,0)</f>
        <v>#N/A</v>
      </c>
      <c r="I28" s="77"/>
      <c r="J28" s="78" t="e">
        <f t="shared" ref="J28:J35" si="36">VLOOKUP(I28,FRS,3,0)</f>
        <v>#N/A</v>
      </c>
      <c r="K28" s="79"/>
      <c r="L28" s="73" t="e">
        <f t="shared" ref="L28:L35" si="37">VLOOKUP(O28,CODE,2,0)</f>
        <v>#N/A</v>
      </c>
      <c r="M28" s="80"/>
      <c r="N28" s="80"/>
      <c r="O28" s="78"/>
      <c r="P28" s="81"/>
    </row>
    <row r="29" spans="2:16" s="97" customFormat="1" ht="14.45" x14ac:dyDescent="0.3">
      <c r="B29" s="73">
        <v>25</v>
      </c>
      <c r="C29" s="74"/>
      <c r="D29" s="78"/>
      <c r="E29" s="75">
        <f t="shared" si="33"/>
        <v>0</v>
      </c>
      <c r="F29" s="75">
        <f t="shared" si="34"/>
        <v>0</v>
      </c>
      <c r="G29" s="76"/>
      <c r="H29" s="73" t="e">
        <f t="shared" si="35"/>
        <v>#N/A</v>
      </c>
      <c r="I29" s="77"/>
      <c r="J29" s="78" t="e">
        <f t="shared" si="36"/>
        <v>#N/A</v>
      </c>
      <c r="K29" s="79"/>
      <c r="L29" s="73" t="e">
        <f t="shared" si="37"/>
        <v>#N/A</v>
      </c>
      <c r="M29" s="80"/>
      <c r="N29" s="80"/>
      <c r="O29" s="78"/>
      <c r="P29" s="81"/>
    </row>
    <row r="30" spans="2:16" s="99" customFormat="1" ht="14.45" x14ac:dyDescent="0.3">
      <c r="B30" s="73">
        <v>26</v>
      </c>
      <c r="C30" s="74"/>
      <c r="D30" s="78"/>
      <c r="E30" s="75">
        <f t="shared" ref="E30:E35" si="38">+G30/(1+K30)</f>
        <v>0</v>
      </c>
      <c r="F30" s="75">
        <f t="shared" ref="F30:F35" si="39">+G30-E30</f>
        <v>0</v>
      </c>
      <c r="G30" s="76"/>
      <c r="H30" s="73" t="e">
        <f t="shared" si="35"/>
        <v>#N/A</v>
      </c>
      <c r="I30" s="77"/>
      <c r="J30" s="78" t="e">
        <f t="shared" si="36"/>
        <v>#N/A</v>
      </c>
      <c r="K30" s="79"/>
      <c r="L30" s="73" t="e">
        <f t="shared" si="37"/>
        <v>#N/A</v>
      </c>
      <c r="M30" s="80"/>
      <c r="N30" s="80"/>
      <c r="O30" s="78"/>
      <c r="P30" s="81"/>
    </row>
    <row r="31" spans="2:16" s="99" customFormat="1" ht="14.45" x14ac:dyDescent="0.3">
      <c r="B31" s="73">
        <v>27</v>
      </c>
      <c r="C31" s="74"/>
      <c r="D31" s="78"/>
      <c r="E31" s="75">
        <f t="shared" si="38"/>
        <v>0</v>
      </c>
      <c r="F31" s="75">
        <f t="shared" si="39"/>
        <v>0</v>
      </c>
      <c r="G31" s="76"/>
      <c r="H31" s="73" t="e">
        <f t="shared" si="35"/>
        <v>#N/A</v>
      </c>
      <c r="I31" s="77"/>
      <c r="J31" s="78" t="e">
        <f t="shared" si="36"/>
        <v>#N/A</v>
      </c>
      <c r="K31" s="79"/>
      <c r="L31" s="73" t="e">
        <f t="shared" si="37"/>
        <v>#N/A</v>
      </c>
      <c r="M31" s="80"/>
      <c r="N31" s="80"/>
      <c r="O31" s="78"/>
      <c r="P31" s="81"/>
    </row>
    <row r="32" spans="2:16" s="99" customFormat="1" ht="14.45" x14ac:dyDescent="0.3">
      <c r="B32" s="73">
        <v>28</v>
      </c>
      <c r="C32" s="74"/>
      <c r="D32" s="78"/>
      <c r="E32" s="75">
        <f t="shared" si="38"/>
        <v>0</v>
      </c>
      <c r="F32" s="75">
        <f t="shared" si="39"/>
        <v>0</v>
      </c>
      <c r="G32" s="76"/>
      <c r="H32" s="73" t="e">
        <f t="shared" si="35"/>
        <v>#N/A</v>
      </c>
      <c r="I32" s="77"/>
      <c r="J32" s="78" t="e">
        <f t="shared" si="36"/>
        <v>#N/A</v>
      </c>
      <c r="K32" s="79"/>
      <c r="L32" s="73" t="e">
        <f t="shared" si="37"/>
        <v>#N/A</v>
      </c>
      <c r="M32" s="80"/>
      <c r="N32" s="80"/>
      <c r="O32" s="78"/>
      <c r="P32" s="81"/>
    </row>
    <row r="33" spans="2:16" s="99" customFormat="1" ht="14.45" x14ac:dyDescent="0.3">
      <c r="B33" s="73">
        <v>29</v>
      </c>
      <c r="C33" s="74"/>
      <c r="D33" s="78"/>
      <c r="E33" s="75">
        <f t="shared" si="38"/>
        <v>0</v>
      </c>
      <c r="F33" s="75">
        <f t="shared" si="39"/>
        <v>0</v>
      </c>
      <c r="G33" s="76"/>
      <c r="H33" s="73" t="e">
        <f t="shared" si="35"/>
        <v>#N/A</v>
      </c>
      <c r="I33" s="77"/>
      <c r="J33" s="78" t="e">
        <f t="shared" si="36"/>
        <v>#N/A</v>
      </c>
      <c r="K33" s="79"/>
      <c r="L33" s="73" t="e">
        <f t="shared" si="37"/>
        <v>#N/A</v>
      </c>
      <c r="M33" s="80"/>
      <c r="N33" s="80"/>
      <c r="O33" s="78"/>
      <c r="P33" s="81"/>
    </row>
    <row r="34" spans="2:16" s="99" customFormat="1" ht="14.45" x14ac:dyDescent="0.3">
      <c r="B34" s="73">
        <v>30</v>
      </c>
      <c r="C34" s="74"/>
      <c r="D34" s="78"/>
      <c r="E34" s="75">
        <f t="shared" si="38"/>
        <v>0</v>
      </c>
      <c r="F34" s="75">
        <f t="shared" si="39"/>
        <v>0</v>
      </c>
      <c r="G34" s="76"/>
      <c r="H34" s="73" t="e">
        <f t="shared" si="35"/>
        <v>#N/A</v>
      </c>
      <c r="I34" s="77"/>
      <c r="J34" s="78" t="e">
        <f t="shared" si="36"/>
        <v>#N/A</v>
      </c>
      <c r="K34" s="79"/>
      <c r="L34" s="73" t="e">
        <f t="shared" si="37"/>
        <v>#N/A</v>
      </c>
      <c r="M34" s="80"/>
      <c r="N34" s="80"/>
      <c r="O34" s="78"/>
      <c r="P34" s="81"/>
    </row>
    <row r="35" spans="2:16" s="99" customFormat="1" ht="14.45" x14ac:dyDescent="0.3">
      <c r="B35" s="73">
        <v>31</v>
      </c>
      <c r="C35" s="74"/>
      <c r="D35" s="78"/>
      <c r="E35" s="75">
        <f t="shared" si="38"/>
        <v>0</v>
      </c>
      <c r="F35" s="75">
        <f t="shared" si="39"/>
        <v>0</v>
      </c>
      <c r="G35" s="76"/>
      <c r="H35" s="73" t="e">
        <f t="shared" si="35"/>
        <v>#N/A</v>
      </c>
      <c r="I35" s="77"/>
      <c r="J35" s="78" t="e">
        <f t="shared" si="36"/>
        <v>#N/A</v>
      </c>
      <c r="K35" s="79"/>
      <c r="L35" s="73" t="e">
        <f t="shared" si="37"/>
        <v>#N/A</v>
      </c>
      <c r="M35" s="80"/>
      <c r="N35" s="80"/>
      <c r="O35" s="78"/>
      <c r="P35" s="81"/>
    </row>
    <row r="36" spans="2:16" ht="15.6" x14ac:dyDescent="0.3">
      <c r="B36" s="10"/>
      <c r="C36" s="21"/>
      <c r="D36" s="21"/>
      <c r="E36" s="22">
        <f>SUM(E4:E35)</f>
        <v>179170.0537878788</v>
      </c>
      <c r="F36" s="22">
        <f>SUM(F4:F35)</f>
        <v>35823.556212121199</v>
      </c>
      <c r="G36" s="22">
        <f>SUM(G4:G35)</f>
        <v>214993.61000000002</v>
      </c>
      <c r="H36" s="73"/>
      <c r="I36" s="77"/>
      <c r="J36" s="78"/>
      <c r="K36" s="79"/>
      <c r="L36" s="73"/>
    </row>
    <row r="38" spans="2:16" ht="14.45" x14ac:dyDescent="0.3">
      <c r="D38" s="5" t="s">
        <v>60</v>
      </c>
      <c r="E38" s="5">
        <f>+ENC!F27</f>
        <v>37960</v>
      </c>
    </row>
    <row r="39" spans="2:16" s="57" customFormat="1" ht="14.45" x14ac:dyDescent="0.3">
      <c r="D39" s="5" t="s">
        <v>260</v>
      </c>
      <c r="E39" s="5"/>
      <c r="F39" s="65">
        <f>+E38-F36-E43</f>
        <v>2136.4437878788012</v>
      </c>
      <c r="G39" s="5"/>
      <c r="K39" s="19"/>
      <c r="L39" s="10"/>
    </row>
    <row r="40" spans="2:16" ht="14.45" x14ac:dyDescent="0.3">
      <c r="D40" s="5" t="s">
        <v>122</v>
      </c>
      <c r="E40" s="5">
        <f>SUMIF(K4:K35,10%,F4:F35)</f>
        <v>10.454545454545467</v>
      </c>
    </row>
    <row r="41" spans="2:16" ht="14.45" x14ac:dyDescent="0.3">
      <c r="D41" s="5" t="s">
        <v>134</v>
      </c>
      <c r="E41" s="5">
        <f>+F36-E42-E40</f>
        <v>17208.580454545452</v>
      </c>
    </row>
    <row r="42" spans="2:16" ht="14.45" x14ac:dyDescent="0.3">
      <c r="D42" s="5" t="s">
        <v>169</v>
      </c>
      <c r="E42" s="5">
        <f>+F9+F10+F11+F12+F13+F16+F17+F18+F30</f>
        <v>18604.521212121203</v>
      </c>
    </row>
    <row r="43" spans="2:16" ht="14.45" x14ac:dyDescent="0.3">
      <c r="D43" s="5" t="s">
        <v>124</v>
      </c>
    </row>
    <row r="44" spans="2:16" ht="14.45" x14ac:dyDescent="0.3">
      <c r="D44" s="5" t="s">
        <v>125</v>
      </c>
      <c r="E44" s="5">
        <f>SUM(E39:E43)</f>
        <v>35823.556212121199</v>
      </c>
      <c r="I44" s="50"/>
    </row>
    <row r="45" spans="2:16" ht="14.45" x14ac:dyDescent="0.3">
      <c r="D45" s="5" t="s">
        <v>61</v>
      </c>
      <c r="E45" s="5">
        <f>ROUNDUP(IF(E38&gt;E44,E38-E44,""),0)</f>
        <v>2137</v>
      </c>
    </row>
    <row r="46" spans="2:16" ht="14.45" x14ac:dyDescent="0.3">
      <c r="D46" s="44" t="s">
        <v>123</v>
      </c>
      <c r="E46" s="59" t="str">
        <f>IF(E38&lt;E44,E38-E44,"")</f>
        <v/>
      </c>
    </row>
    <row r="47" spans="2:16" ht="14.45" x14ac:dyDescent="0.3">
      <c r="F47" s="44"/>
    </row>
  </sheetData>
  <autoFilter ref="B3:P36">
    <filterColumn colId="1">
      <filters blank="1"/>
    </filterColumn>
  </autoFilter>
  <sortState ref="B4:P4">
    <sortCondition ref="B4"/>
  </sortState>
  <mergeCells count="1">
    <mergeCell ref="E1:J1"/>
  </mergeCells>
  <printOptions horizontalCentered="1"/>
  <pageMargins left="0.11811023622047245" right="0.11811023622047245" top="0.74803149606299213" bottom="0.74803149606299213" header="0.31496062992125984" footer="0.31496062992125984"/>
  <pageSetup paperSize="9" scale="72" orientation="landscape" horizontalDpi="360" verticalDpi="360" r:id="rId1"/>
  <colBreaks count="1" manualBreakCount="1">
    <brk id="14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'BASE IF-ICE'!$G$3:$G$13</xm:f>
          </x14:formula1>
          <xm:sqref>O4:O35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O7"/>
  <sheetViews>
    <sheetView workbookViewId="0">
      <selection activeCell="G7" sqref="G7"/>
    </sheetView>
  </sheetViews>
  <sheetFormatPr baseColWidth="10" defaultRowHeight="15" x14ac:dyDescent="0.25"/>
  <cols>
    <col min="1" max="1" width="11.85546875" bestFit="1" customWidth="1"/>
    <col min="3" max="3" width="12" bestFit="1" customWidth="1"/>
    <col min="4" max="4" width="9.42578125" bestFit="1" customWidth="1"/>
    <col min="5" max="5" width="12" bestFit="1" customWidth="1"/>
    <col min="6" max="6" width="9" bestFit="1" customWidth="1"/>
    <col min="7" max="7" width="17.42578125" bestFit="1" customWidth="1"/>
    <col min="8" max="8" width="16.140625" bestFit="1" customWidth="1"/>
    <col min="9" max="9" width="4.5703125" bestFit="1" customWidth="1"/>
    <col min="10" max="10" width="5.5703125" bestFit="1" customWidth="1"/>
    <col min="11" max="11" width="10.7109375" bestFit="1" customWidth="1"/>
    <col min="14" max="14" width="8" bestFit="1" customWidth="1"/>
  </cols>
  <sheetData>
    <row r="3" spans="1:15" x14ac:dyDescent="0.25">
      <c r="A3" s="51"/>
      <c r="C3" s="5">
        <f t="shared" ref="C3" si="0">+E3/(1+I3)</f>
        <v>1350</v>
      </c>
      <c r="D3" s="5">
        <f t="shared" ref="D3" si="1">+E3-C3</f>
        <v>270</v>
      </c>
      <c r="E3" s="6">
        <v>1620</v>
      </c>
      <c r="F3" s="10">
        <f t="shared" ref="F3" si="2">VLOOKUP(G3,FRS,2,0)</f>
        <v>18788868</v>
      </c>
      <c r="G3" t="s">
        <v>163</v>
      </c>
      <c r="H3" t="str">
        <f t="shared" ref="H3" si="3">VLOOKUP(G3,FRS,3,0)</f>
        <v>001595698000089</v>
      </c>
      <c r="I3" s="19">
        <v>0.2</v>
      </c>
      <c r="J3">
        <f t="shared" ref="J3" si="4">VLOOKUP(M3,CODE,2,0)</f>
        <v>2</v>
      </c>
      <c r="K3" s="36">
        <v>43486</v>
      </c>
      <c r="L3" s="36"/>
      <c r="M3" t="s">
        <v>48</v>
      </c>
    </row>
    <row r="4" spans="1:15" ht="14.45" x14ac:dyDescent="0.3">
      <c r="A4" s="10">
        <v>5</v>
      </c>
      <c r="B4" s="51"/>
      <c r="C4" s="5">
        <f t="shared" ref="C4:C5" si="5">+E4/(1+I4)</f>
        <v>480.83333333333337</v>
      </c>
      <c r="D4" s="5">
        <f t="shared" ref="D4:D5" si="6">+E4-C4</f>
        <v>96.166666666666629</v>
      </c>
      <c r="E4" s="6">
        <v>577</v>
      </c>
      <c r="F4" s="10" t="e">
        <f t="shared" ref="F4:F5" si="7">VLOOKUP(G4,FRS,2,0)</f>
        <v>#N/A</v>
      </c>
      <c r="G4" s="54" t="s">
        <v>255</v>
      </c>
      <c r="H4" s="56" t="e">
        <f t="shared" ref="H4:H5" si="8">VLOOKUP(G4,FRS,3,0)</f>
        <v>#N/A</v>
      </c>
      <c r="I4" s="19">
        <v>0.2</v>
      </c>
      <c r="J4" s="56" t="e">
        <f t="shared" ref="J4:J5" si="9">VLOOKUP(M4,CODE,2,0)</f>
        <v>#N/A</v>
      </c>
      <c r="K4" s="36"/>
      <c r="L4" s="36"/>
      <c r="M4" s="56"/>
      <c r="O4" s="53"/>
    </row>
    <row r="5" spans="1:15" ht="14.45" x14ac:dyDescent="0.3">
      <c r="A5" s="10">
        <v>6</v>
      </c>
      <c r="B5" s="51"/>
      <c r="C5" s="5">
        <f t="shared" si="5"/>
        <v>94.166666666666671</v>
      </c>
      <c r="D5" s="5">
        <f t="shared" si="6"/>
        <v>18.833333333333329</v>
      </c>
      <c r="E5" s="6">
        <v>113</v>
      </c>
      <c r="F5" s="10" t="e">
        <f t="shared" si="7"/>
        <v>#N/A</v>
      </c>
      <c r="G5" s="54" t="s">
        <v>256</v>
      </c>
      <c r="H5" s="56" t="e">
        <f t="shared" si="8"/>
        <v>#N/A</v>
      </c>
      <c r="I5" s="19">
        <v>0.2</v>
      </c>
      <c r="J5" s="56" t="e">
        <f t="shared" si="9"/>
        <v>#N/A</v>
      </c>
      <c r="K5" s="36"/>
      <c r="L5" s="36"/>
      <c r="M5" s="56"/>
      <c r="O5" s="53"/>
    </row>
    <row r="6" spans="1:15" ht="14.45" x14ac:dyDescent="0.3">
      <c r="A6" s="10">
        <v>4</v>
      </c>
      <c r="B6" s="51"/>
      <c r="C6" s="5">
        <f t="shared" ref="C6" si="10">+E6/(1+I6)</f>
        <v>219.58333333333334</v>
      </c>
      <c r="D6" s="5">
        <f t="shared" ref="D6" si="11">+E6-C6</f>
        <v>43.916666666666657</v>
      </c>
      <c r="E6" s="6">
        <v>263.5</v>
      </c>
      <c r="F6" s="10">
        <f t="shared" ref="F6" si="12">VLOOKUP(G6,FRS,2,0)</f>
        <v>2202961</v>
      </c>
      <c r="G6" s="54" t="s">
        <v>213</v>
      </c>
      <c r="H6" s="57" t="str">
        <f t="shared" ref="H6" si="13">VLOOKUP(G6,FRS,3,0)</f>
        <v>001525045000091</v>
      </c>
      <c r="I6" s="19">
        <v>0.2</v>
      </c>
      <c r="J6" s="57" t="e">
        <f>VLOOKUP(N6,CODE,2,0)</f>
        <v>#N/A</v>
      </c>
      <c r="K6" s="36"/>
      <c r="M6" s="36"/>
      <c r="N6" s="57"/>
      <c r="O6" s="53"/>
    </row>
    <row r="7" spans="1:15" x14ac:dyDescent="0.25">
      <c r="A7" s="51"/>
      <c r="B7" s="58"/>
      <c r="C7" s="5">
        <f>+E7/(1+I7)</f>
        <v>3842.5</v>
      </c>
      <c r="D7" s="5">
        <f>+E7-C7</f>
        <v>768.5</v>
      </c>
      <c r="E7" s="6">
        <v>4611</v>
      </c>
      <c r="F7" s="10" t="e">
        <f>VLOOKUP(G7,FRS,2,0)</f>
        <v>#N/A</v>
      </c>
      <c r="G7" s="54" t="s">
        <v>263</v>
      </c>
      <c r="H7" t="e">
        <f>VLOOKUP(G7,FRS,3,0)</f>
        <v>#N/A</v>
      </c>
      <c r="I7" s="61">
        <v>0.2</v>
      </c>
      <c r="J7">
        <f>VLOOKUP(M7,CODE,2,0)</f>
        <v>2</v>
      </c>
      <c r="K7" s="36">
        <v>43648</v>
      </c>
      <c r="L7" s="36"/>
      <c r="M7" s="58" t="s">
        <v>48</v>
      </c>
      <c r="N7" s="53">
        <v>949471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'BASE IF-ICE'!$G$3:$G$13</xm:f>
          </x14:formula1>
          <xm:sqref>N6 M7 M3:M5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15"/>
  <sheetViews>
    <sheetView topLeftCell="A89" zoomScale="90" zoomScaleNormal="90" workbookViewId="0">
      <selection activeCell="D114" sqref="D114"/>
    </sheetView>
  </sheetViews>
  <sheetFormatPr baseColWidth="10" defaultRowHeight="15" x14ac:dyDescent="0.25"/>
  <cols>
    <col min="2" max="2" width="34.85546875" bestFit="1" customWidth="1"/>
    <col min="3" max="3" width="12.42578125" customWidth="1"/>
    <col min="4" max="4" width="17.42578125" customWidth="1"/>
    <col min="7" max="7" width="13.85546875" bestFit="1" customWidth="1"/>
    <col min="10" max="10" width="51.5703125" customWidth="1"/>
  </cols>
  <sheetData>
    <row r="2" spans="2:10" ht="15.6" x14ac:dyDescent="0.3">
      <c r="B2" s="25" t="s">
        <v>43</v>
      </c>
      <c r="C2" s="25" t="s">
        <v>7</v>
      </c>
      <c r="D2" s="25" t="s">
        <v>44</v>
      </c>
      <c r="G2" s="25" t="s">
        <v>56</v>
      </c>
      <c r="H2" s="25" t="s">
        <v>55</v>
      </c>
    </row>
    <row r="3" spans="2:10" x14ac:dyDescent="0.25">
      <c r="B3" t="s">
        <v>42</v>
      </c>
      <c r="C3" s="26">
        <v>14460330</v>
      </c>
      <c r="D3" s="27" t="s">
        <v>45</v>
      </c>
      <c r="E3">
        <f>LEN(D3)</f>
        <v>15</v>
      </c>
      <c r="G3" t="s">
        <v>51</v>
      </c>
      <c r="H3" s="10">
        <v>1</v>
      </c>
      <c r="J3" t="s">
        <v>57</v>
      </c>
    </row>
    <row r="4" spans="2:10" x14ac:dyDescent="0.25">
      <c r="B4" s="82" t="s">
        <v>46</v>
      </c>
      <c r="C4" s="84">
        <v>1085466</v>
      </c>
      <c r="D4" s="84" t="s">
        <v>47</v>
      </c>
      <c r="E4" s="63">
        <f t="shared" ref="E4:E67" si="0">LEN(D4)</f>
        <v>15</v>
      </c>
      <c r="G4" t="s">
        <v>48</v>
      </c>
      <c r="H4" s="10">
        <v>2</v>
      </c>
      <c r="J4" t="s">
        <v>58</v>
      </c>
    </row>
    <row r="5" spans="2:10" x14ac:dyDescent="0.25">
      <c r="B5" t="s">
        <v>65</v>
      </c>
      <c r="C5" s="27">
        <v>2860305</v>
      </c>
      <c r="D5" s="27" t="s">
        <v>69</v>
      </c>
      <c r="E5" s="63">
        <f t="shared" si="0"/>
        <v>15</v>
      </c>
      <c r="G5" t="s">
        <v>49</v>
      </c>
      <c r="H5" s="10">
        <v>3</v>
      </c>
      <c r="J5" s="115" t="s">
        <v>59</v>
      </c>
    </row>
    <row r="6" spans="2:10" x14ac:dyDescent="0.25">
      <c r="B6" t="s">
        <v>40</v>
      </c>
      <c r="C6" s="10">
        <v>15199846</v>
      </c>
      <c r="D6" s="27" t="s">
        <v>70</v>
      </c>
      <c r="E6" s="63">
        <f t="shared" si="0"/>
        <v>15</v>
      </c>
      <c r="G6" t="s">
        <v>54</v>
      </c>
      <c r="H6" s="10">
        <v>4</v>
      </c>
      <c r="J6" s="116"/>
    </row>
    <row r="7" spans="2:10" ht="14.45" x14ac:dyDescent="0.3">
      <c r="B7" s="67" t="s">
        <v>64</v>
      </c>
      <c r="C7" s="69">
        <v>40484537</v>
      </c>
      <c r="D7" s="69" t="s">
        <v>71</v>
      </c>
      <c r="E7" s="63">
        <f t="shared" si="0"/>
        <v>15</v>
      </c>
      <c r="G7" t="s">
        <v>53</v>
      </c>
      <c r="H7" s="10">
        <v>5</v>
      </c>
    </row>
    <row r="8" spans="2:10" ht="14.45" x14ac:dyDescent="0.3">
      <c r="B8" t="s">
        <v>66</v>
      </c>
      <c r="C8" s="26" t="s">
        <v>72</v>
      </c>
      <c r="D8" s="26" t="s">
        <v>73</v>
      </c>
      <c r="E8" s="63">
        <f t="shared" si="0"/>
        <v>15</v>
      </c>
      <c r="G8" t="s">
        <v>52</v>
      </c>
      <c r="H8" s="10">
        <v>6</v>
      </c>
      <c r="I8" s="5"/>
    </row>
    <row r="9" spans="2:10" ht="14.45" x14ac:dyDescent="0.3">
      <c r="B9" s="67" t="s">
        <v>63</v>
      </c>
      <c r="C9" s="69">
        <v>40394796</v>
      </c>
      <c r="D9" s="69" t="s">
        <v>74</v>
      </c>
      <c r="E9" s="63">
        <f t="shared" si="0"/>
        <v>15</v>
      </c>
      <c r="G9" t="s">
        <v>50</v>
      </c>
      <c r="H9" s="10">
        <v>7</v>
      </c>
    </row>
    <row r="10" spans="2:10" ht="14.45" x14ac:dyDescent="0.3">
      <c r="B10" t="s">
        <v>62</v>
      </c>
      <c r="C10" s="26">
        <v>1622350</v>
      </c>
      <c r="D10" s="27" t="s">
        <v>75</v>
      </c>
      <c r="E10" s="63">
        <f t="shared" si="0"/>
        <v>15</v>
      </c>
    </row>
    <row r="11" spans="2:10" ht="14.45" x14ac:dyDescent="0.3">
      <c r="B11" s="82" t="s">
        <v>68</v>
      </c>
      <c r="C11" s="85">
        <v>3332162</v>
      </c>
      <c r="D11" s="84" t="s">
        <v>76</v>
      </c>
      <c r="E11" s="63">
        <f t="shared" si="0"/>
        <v>15</v>
      </c>
    </row>
    <row r="12" spans="2:10" ht="14.45" x14ac:dyDescent="0.3">
      <c r="B12" t="s">
        <v>77</v>
      </c>
      <c r="C12" s="27">
        <v>1640482</v>
      </c>
      <c r="D12" s="27" t="s">
        <v>78</v>
      </c>
      <c r="E12" s="63">
        <f t="shared" si="0"/>
        <v>15</v>
      </c>
    </row>
    <row r="13" spans="2:10" ht="14.45" x14ac:dyDescent="0.3">
      <c r="B13" t="s">
        <v>79</v>
      </c>
      <c r="C13" s="27">
        <v>1111744</v>
      </c>
      <c r="D13" s="27" t="s">
        <v>80</v>
      </c>
      <c r="E13" s="63">
        <f t="shared" si="0"/>
        <v>15</v>
      </c>
    </row>
    <row r="14" spans="2:10" ht="14.45" x14ac:dyDescent="0.3">
      <c r="B14" t="s">
        <v>81</v>
      </c>
      <c r="C14" s="10">
        <v>40236625</v>
      </c>
      <c r="D14" s="27" t="s">
        <v>100</v>
      </c>
      <c r="E14" s="63">
        <f t="shared" si="0"/>
        <v>15</v>
      </c>
    </row>
    <row r="15" spans="2:10" ht="14.45" x14ac:dyDescent="0.3">
      <c r="B15" t="s">
        <v>82</v>
      </c>
      <c r="C15">
        <v>40458870</v>
      </c>
      <c r="D15" s="27" t="s">
        <v>99</v>
      </c>
      <c r="E15" s="63">
        <f t="shared" si="0"/>
        <v>15</v>
      </c>
    </row>
    <row r="16" spans="2:10" ht="14.45" x14ac:dyDescent="0.3">
      <c r="B16" t="s">
        <v>83</v>
      </c>
      <c r="C16" s="27">
        <v>14478231</v>
      </c>
      <c r="D16" s="27" t="s">
        <v>108</v>
      </c>
      <c r="E16" s="63">
        <f t="shared" si="0"/>
        <v>15</v>
      </c>
    </row>
    <row r="17" spans="2:5" ht="14.45" x14ac:dyDescent="0.3">
      <c r="B17" t="s">
        <v>91</v>
      </c>
      <c r="C17">
        <v>2223394</v>
      </c>
      <c r="D17" s="27" t="s">
        <v>109</v>
      </c>
      <c r="E17" s="63">
        <f t="shared" si="0"/>
        <v>15</v>
      </c>
    </row>
    <row r="18" spans="2:5" ht="14.45" x14ac:dyDescent="0.3">
      <c r="B18" t="s">
        <v>92</v>
      </c>
      <c r="C18" s="35" t="s">
        <v>93</v>
      </c>
      <c r="D18" s="35" t="s">
        <v>94</v>
      </c>
      <c r="E18" s="63">
        <f t="shared" si="0"/>
        <v>15</v>
      </c>
    </row>
    <row r="19" spans="2:5" ht="14.45" x14ac:dyDescent="0.3">
      <c r="B19" t="s">
        <v>95</v>
      </c>
      <c r="C19">
        <v>40434821</v>
      </c>
      <c r="D19" s="35" t="s">
        <v>96</v>
      </c>
      <c r="E19" s="63">
        <f t="shared" si="0"/>
        <v>15</v>
      </c>
    </row>
    <row r="20" spans="2:5" ht="14.45" x14ac:dyDescent="0.3">
      <c r="B20" t="s">
        <v>97</v>
      </c>
      <c r="C20">
        <v>15241927</v>
      </c>
      <c r="D20" s="35" t="s">
        <v>98</v>
      </c>
      <c r="E20" s="63">
        <f t="shared" si="0"/>
        <v>15</v>
      </c>
    </row>
    <row r="21" spans="2:5" ht="14.45" x14ac:dyDescent="0.3">
      <c r="B21" t="s">
        <v>88</v>
      </c>
      <c r="C21" s="34" t="s">
        <v>101</v>
      </c>
      <c r="D21" s="35" t="s">
        <v>110</v>
      </c>
      <c r="E21" s="63">
        <f t="shared" si="0"/>
        <v>15</v>
      </c>
    </row>
    <row r="22" spans="2:5" ht="14.45" x14ac:dyDescent="0.3">
      <c r="B22" s="48" t="s">
        <v>89</v>
      </c>
      <c r="C22" s="34">
        <v>15176335</v>
      </c>
      <c r="D22" s="35" t="s">
        <v>105</v>
      </c>
      <c r="E22" s="63">
        <f t="shared" si="0"/>
        <v>15</v>
      </c>
    </row>
    <row r="23" spans="2:5" ht="14.45" x14ac:dyDescent="0.3">
      <c r="B23" s="49" t="s">
        <v>90</v>
      </c>
      <c r="C23" s="34">
        <v>14468904</v>
      </c>
      <c r="D23" s="35" t="s">
        <v>104</v>
      </c>
      <c r="E23" s="63">
        <f t="shared" si="0"/>
        <v>15</v>
      </c>
    </row>
    <row r="24" spans="2:5" ht="14.45" x14ac:dyDescent="0.3">
      <c r="B24" t="s">
        <v>84</v>
      </c>
      <c r="C24">
        <v>1050126</v>
      </c>
      <c r="D24" s="35" t="s">
        <v>103</v>
      </c>
      <c r="E24" s="63">
        <f t="shared" si="0"/>
        <v>15</v>
      </c>
    </row>
    <row r="25" spans="2:5" ht="14.45" x14ac:dyDescent="0.3">
      <c r="B25" t="s">
        <v>85</v>
      </c>
      <c r="C25" s="37">
        <v>40122393</v>
      </c>
      <c r="D25" s="35" t="s">
        <v>102</v>
      </c>
      <c r="E25" s="63">
        <f t="shared" si="0"/>
        <v>15</v>
      </c>
    </row>
    <row r="26" spans="2:5" ht="14.45" x14ac:dyDescent="0.3">
      <c r="B26" t="s">
        <v>86</v>
      </c>
      <c r="C26">
        <v>14390038</v>
      </c>
      <c r="D26" s="35" t="s">
        <v>106</v>
      </c>
      <c r="E26" s="63">
        <f t="shared" si="0"/>
        <v>15</v>
      </c>
    </row>
    <row r="27" spans="2:5" ht="14.45" x14ac:dyDescent="0.3">
      <c r="B27" t="s">
        <v>87</v>
      </c>
      <c r="C27">
        <v>43600160</v>
      </c>
      <c r="D27" s="35" t="s">
        <v>107</v>
      </c>
      <c r="E27" s="63">
        <f t="shared" si="0"/>
        <v>15</v>
      </c>
    </row>
    <row r="28" spans="2:5" ht="14.45" x14ac:dyDescent="0.3">
      <c r="B28" t="s">
        <v>115</v>
      </c>
      <c r="C28">
        <v>1107498</v>
      </c>
      <c r="D28" s="35" t="s">
        <v>116</v>
      </c>
      <c r="E28" s="63">
        <f t="shared" si="0"/>
        <v>15</v>
      </c>
    </row>
    <row r="29" spans="2:5" ht="14.45" x14ac:dyDescent="0.3">
      <c r="B29" t="s">
        <v>113</v>
      </c>
      <c r="C29">
        <v>1113293</v>
      </c>
      <c r="D29" s="35" t="s">
        <v>114</v>
      </c>
      <c r="E29" s="63">
        <f t="shared" si="0"/>
        <v>15</v>
      </c>
    </row>
    <row r="30" spans="2:5" ht="14.45" x14ac:dyDescent="0.3">
      <c r="B30" t="s">
        <v>117</v>
      </c>
      <c r="C30" s="35" t="s">
        <v>118</v>
      </c>
      <c r="D30" s="35" t="s">
        <v>119</v>
      </c>
      <c r="E30" s="63">
        <f t="shared" si="0"/>
        <v>15</v>
      </c>
    </row>
    <row r="31" spans="2:5" ht="14.45" x14ac:dyDescent="0.3">
      <c r="B31" t="s">
        <v>120</v>
      </c>
      <c r="C31">
        <v>1004480</v>
      </c>
      <c r="D31" t="s">
        <v>121</v>
      </c>
      <c r="E31" s="63">
        <f t="shared" si="0"/>
        <v>15</v>
      </c>
    </row>
    <row r="32" spans="2:5" ht="14.45" x14ac:dyDescent="0.3">
      <c r="B32" t="s">
        <v>127</v>
      </c>
      <c r="C32" s="35" t="s">
        <v>128</v>
      </c>
      <c r="D32" s="35" t="s">
        <v>129</v>
      </c>
      <c r="E32" s="63">
        <f t="shared" si="0"/>
        <v>15</v>
      </c>
    </row>
    <row r="33" spans="2:5" ht="14.45" x14ac:dyDescent="0.3">
      <c r="B33" t="s">
        <v>126</v>
      </c>
      <c r="C33">
        <v>14370648</v>
      </c>
      <c r="D33" s="35" t="s">
        <v>130</v>
      </c>
      <c r="E33" s="63">
        <f t="shared" si="0"/>
        <v>15</v>
      </c>
    </row>
    <row r="34" spans="2:5" ht="14.45" x14ac:dyDescent="0.3">
      <c r="B34" t="s">
        <v>131</v>
      </c>
      <c r="C34" s="35" t="s">
        <v>132</v>
      </c>
      <c r="D34" s="35" t="s">
        <v>133</v>
      </c>
      <c r="E34" s="63">
        <f t="shared" si="0"/>
        <v>15</v>
      </c>
    </row>
    <row r="35" spans="2:5" ht="14.45" x14ac:dyDescent="0.3">
      <c r="B35" t="s">
        <v>137</v>
      </c>
      <c r="C35" s="35" t="s">
        <v>138</v>
      </c>
      <c r="D35" s="35" t="s">
        <v>139</v>
      </c>
      <c r="E35" s="63">
        <f t="shared" si="0"/>
        <v>15</v>
      </c>
    </row>
    <row r="36" spans="2:5" ht="14.45" x14ac:dyDescent="0.3">
      <c r="B36" t="s">
        <v>140</v>
      </c>
      <c r="C36">
        <v>20689282</v>
      </c>
      <c r="D36" s="35" t="s">
        <v>141</v>
      </c>
      <c r="E36" s="63">
        <f t="shared" si="0"/>
        <v>15</v>
      </c>
    </row>
    <row r="37" spans="2:5" ht="14.45" x14ac:dyDescent="0.3">
      <c r="B37" t="s">
        <v>142</v>
      </c>
      <c r="C37">
        <v>1007044</v>
      </c>
      <c r="D37" s="35" t="s">
        <v>143</v>
      </c>
      <c r="E37" s="63">
        <f t="shared" si="0"/>
        <v>15</v>
      </c>
    </row>
    <row r="38" spans="2:5" ht="14.45" x14ac:dyDescent="0.3">
      <c r="B38" t="s">
        <v>144</v>
      </c>
      <c r="C38" s="35" t="s">
        <v>145</v>
      </c>
      <c r="D38" s="35" t="s">
        <v>146</v>
      </c>
      <c r="E38" s="63">
        <f t="shared" si="0"/>
        <v>15</v>
      </c>
    </row>
    <row r="39" spans="2:5" ht="14.45" x14ac:dyDescent="0.3">
      <c r="B39" t="s">
        <v>147</v>
      </c>
      <c r="C39" s="35" t="s">
        <v>148</v>
      </c>
      <c r="D39" s="35" t="s">
        <v>149</v>
      </c>
      <c r="E39" s="63">
        <f t="shared" si="0"/>
        <v>15</v>
      </c>
    </row>
    <row r="40" spans="2:5" ht="14.45" x14ac:dyDescent="0.3">
      <c r="B40" s="82" t="s">
        <v>150</v>
      </c>
      <c r="C40" s="82">
        <v>14372699</v>
      </c>
      <c r="D40" s="83" t="s">
        <v>151</v>
      </c>
      <c r="E40" s="63">
        <f t="shared" si="0"/>
        <v>15</v>
      </c>
    </row>
    <row r="41" spans="2:5" ht="14.45" x14ac:dyDescent="0.3">
      <c r="B41" t="s">
        <v>154</v>
      </c>
      <c r="C41">
        <v>40209287</v>
      </c>
      <c r="D41" s="35" t="s">
        <v>157</v>
      </c>
      <c r="E41" s="63">
        <f t="shared" si="0"/>
        <v>15</v>
      </c>
    </row>
    <row r="42" spans="2:5" ht="14.45" x14ac:dyDescent="0.3">
      <c r="B42" t="s">
        <v>152</v>
      </c>
      <c r="C42">
        <v>18740552</v>
      </c>
      <c r="D42" s="35" t="s">
        <v>158</v>
      </c>
      <c r="E42" s="63">
        <f t="shared" si="0"/>
        <v>15</v>
      </c>
    </row>
    <row r="43" spans="2:5" ht="14.45" x14ac:dyDescent="0.3">
      <c r="B43" t="s">
        <v>155</v>
      </c>
      <c r="C43">
        <v>20768018</v>
      </c>
      <c r="D43" s="35" t="s">
        <v>159</v>
      </c>
      <c r="E43" s="63">
        <f t="shared" si="0"/>
        <v>15</v>
      </c>
    </row>
    <row r="44" spans="2:5" ht="14.45" x14ac:dyDescent="0.3">
      <c r="B44" t="s">
        <v>160</v>
      </c>
      <c r="C44">
        <v>42401018</v>
      </c>
      <c r="D44" s="35" t="s">
        <v>161</v>
      </c>
      <c r="E44" s="63">
        <f t="shared" si="0"/>
        <v>15</v>
      </c>
    </row>
    <row r="45" spans="2:5" ht="14.45" x14ac:dyDescent="0.3">
      <c r="B45" t="s">
        <v>156</v>
      </c>
      <c r="C45">
        <v>18740552</v>
      </c>
      <c r="D45" s="35" t="s">
        <v>158</v>
      </c>
      <c r="E45" s="63">
        <f t="shared" si="0"/>
        <v>15</v>
      </c>
    </row>
    <row r="46" spans="2:5" ht="14.45" x14ac:dyDescent="0.3">
      <c r="B46" t="s">
        <v>153</v>
      </c>
      <c r="C46">
        <v>14370648</v>
      </c>
      <c r="D46" s="35" t="s">
        <v>130</v>
      </c>
      <c r="E46" s="63">
        <f t="shared" si="0"/>
        <v>15</v>
      </c>
    </row>
    <row r="47" spans="2:5" ht="14.45" x14ac:dyDescent="0.3">
      <c r="B47" t="s">
        <v>136</v>
      </c>
      <c r="C47">
        <v>2501509</v>
      </c>
      <c r="D47" s="35" t="s">
        <v>162</v>
      </c>
      <c r="E47" s="63">
        <f t="shared" si="0"/>
        <v>15</v>
      </c>
    </row>
    <row r="48" spans="2:5" ht="14.45" x14ac:dyDescent="0.3">
      <c r="B48" t="s">
        <v>164</v>
      </c>
      <c r="C48">
        <v>15189881</v>
      </c>
      <c r="D48" s="35" t="s">
        <v>165</v>
      </c>
      <c r="E48" s="63">
        <f t="shared" si="0"/>
        <v>15</v>
      </c>
    </row>
    <row r="49" spans="2:5" ht="14.45" x14ac:dyDescent="0.3">
      <c r="B49" t="s">
        <v>163</v>
      </c>
      <c r="C49">
        <v>18788868</v>
      </c>
      <c r="D49" s="35" t="s">
        <v>166</v>
      </c>
      <c r="E49" s="63">
        <f t="shared" si="0"/>
        <v>15</v>
      </c>
    </row>
    <row r="50" spans="2:5" ht="14.45" x14ac:dyDescent="0.3">
      <c r="B50" t="s">
        <v>167</v>
      </c>
      <c r="C50">
        <v>2202511</v>
      </c>
      <c r="D50" s="35" t="s">
        <v>168</v>
      </c>
      <c r="E50" s="63">
        <f t="shared" si="0"/>
        <v>15</v>
      </c>
    </row>
    <row r="51" spans="2:5" ht="14.45" x14ac:dyDescent="0.3">
      <c r="B51" s="67" t="s">
        <v>170</v>
      </c>
      <c r="C51" s="67">
        <v>2501584</v>
      </c>
      <c r="D51" s="68" t="s">
        <v>171</v>
      </c>
      <c r="E51" s="63">
        <f t="shared" si="0"/>
        <v>15</v>
      </c>
    </row>
    <row r="52" spans="2:5" ht="14.45" x14ac:dyDescent="0.3">
      <c r="B52" t="s">
        <v>172</v>
      </c>
      <c r="C52">
        <v>2263352</v>
      </c>
      <c r="D52" s="35" t="s">
        <v>173</v>
      </c>
      <c r="E52" s="63">
        <f t="shared" si="0"/>
        <v>15</v>
      </c>
    </row>
    <row r="53" spans="2:5" ht="15" customHeight="1" x14ac:dyDescent="0.3">
      <c r="B53" s="52" t="s">
        <v>178</v>
      </c>
      <c r="C53">
        <v>15251860</v>
      </c>
      <c r="D53" s="35" t="s">
        <v>179</v>
      </c>
      <c r="E53" s="63">
        <f t="shared" si="0"/>
        <v>15</v>
      </c>
    </row>
    <row r="54" spans="2:5" ht="14.45" x14ac:dyDescent="0.3">
      <c r="B54" t="s">
        <v>174</v>
      </c>
      <c r="C54">
        <v>40256572</v>
      </c>
      <c r="D54" s="35" t="s">
        <v>180</v>
      </c>
      <c r="E54" s="63">
        <f t="shared" si="0"/>
        <v>15</v>
      </c>
    </row>
    <row r="55" spans="2:5" ht="14.45" x14ac:dyDescent="0.3">
      <c r="B55" t="s">
        <v>175</v>
      </c>
      <c r="C55" s="35" t="s">
        <v>177</v>
      </c>
      <c r="D55" s="35" t="s">
        <v>181</v>
      </c>
      <c r="E55" s="63">
        <f t="shared" si="0"/>
        <v>15</v>
      </c>
    </row>
    <row r="56" spans="2:5" ht="14.45" x14ac:dyDescent="0.3">
      <c r="B56" t="s">
        <v>176</v>
      </c>
      <c r="C56">
        <v>18738256</v>
      </c>
      <c r="D56" s="35" t="s">
        <v>182</v>
      </c>
      <c r="E56" s="63">
        <f t="shared" si="0"/>
        <v>15</v>
      </c>
    </row>
    <row r="57" spans="2:5" ht="14.45" x14ac:dyDescent="0.3">
      <c r="B57" t="s">
        <v>183</v>
      </c>
      <c r="C57">
        <v>43600090</v>
      </c>
      <c r="D57" s="35" t="s">
        <v>185</v>
      </c>
      <c r="E57" s="63">
        <f t="shared" si="0"/>
        <v>15</v>
      </c>
    </row>
    <row r="58" spans="2:5" ht="14.45" x14ac:dyDescent="0.3">
      <c r="B58" t="s">
        <v>190</v>
      </c>
      <c r="C58">
        <v>2223452</v>
      </c>
      <c r="D58" s="35" t="s">
        <v>186</v>
      </c>
      <c r="E58" s="63">
        <f t="shared" si="0"/>
        <v>15</v>
      </c>
    </row>
    <row r="59" spans="2:5" ht="14.45" x14ac:dyDescent="0.3">
      <c r="B59" t="s">
        <v>184</v>
      </c>
      <c r="C59">
        <v>40497253</v>
      </c>
      <c r="D59" s="35" t="s">
        <v>187</v>
      </c>
      <c r="E59" s="63">
        <f t="shared" si="0"/>
        <v>15</v>
      </c>
    </row>
    <row r="60" spans="2:5" ht="14.45" x14ac:dyDescent="0.3">
      <c r="B60" t="s">
        <v>192</v>
      </c>
      <c r="C60">
        <v>20754793</v>
      </c>
      <c r="D60" s="35" t="s">
        <v>193</v>
      </c>
      <c r="E60" s="63">
        <f t="shared" si="0"/>
        <v>15</v>
      </c>
    </row>
    <row r="61" spans="2:5" ht="14.45" x14ac:dyDescent="0.3">
      <c r="B61" t="s">
        <v>198</v>
      </c>
      <c r="C61">
        <v>15200927</v>
      </c>
      <c r="D61" s="35" t="s">
        <v>199</v>
      </c>
      <c r="E61" s="63">
        <f t="shared" si="0"/>
        <v>15</v>
      </c>
    </row>
    <row r="62" spans="2:5" ht="14.45" x14ac:dyDescent="0.3">
      <c r="B62" t="s">
        <v>189</v>
      </c>
      <c r="E62" s="63">
        <f t="shared" si="0"/>
        <v>0</v>
      </c>
    </row>
    <row r="63" spans="2:5" ht="14.45" x14ac:dyDescent="0.3">
      <c r="B63" t="s">
        <v>188</v>
      </c>
      <c r="C63">
        <v>20752123</v>
      </c>
      <c r="D63" s="35" t="s">
        <v>196</v>
      </c>
      <c r="E63" s="63">
        <f t="shared" si="0"/>
        <v>15</v>
      </c>
    </row>
    <row r="64" spans="2:5" ht="14.45" x14ac:dyDescent="0.3">
      <c r="B64" t="s">
        <v>194</v>
      </c>
      <c r="C64">
        <v>14442571</v>
      </c>
      <c r="D64" s="35" t="s">
        <v>195</v>
      </c>
      <c r="E64" s="63">
        <f t="shared" si="0"/>
        <v>15</v>
      </c>
    </row>
    <row r="65" spans="2:5" ht="14.45" x14ac:dyDescent="0.3">
      <c r="B65" t="s">
        <v>191</v>
      </c>
      <c r="C65">
        <v>15269859</v>
      </c>
      <c r="D65" s="35" t="s">
        <v>197</v>
      </c>
      <c r="E65" s="63">
        <f t="shared" si="0"/>
        <v>15</v>
      </c>
    </row>
    <row r="66" spans="2:5" ht="14.45" x14ac:dyDescent="0.3">
      <c r="B66" t="s">
        <v>200</v>
      </c>
      <c r="C66">
        <v>14456150</v>
      </c>
      <c r="D66" s="35" t="s">
        <v>201</v>
      </c>
      <c r="E66" s="63">
        <f t="shared" si="0"/>
        <v>15</v>
      </c>
    </row>
    <row r="67" spans="2:5" ht="14.45" x14ac:dyDescent="0.3">
      <c r="B67" t="s">
        <v>202</v>
      </c>
      <c r="C67">
        <v>24831811</v>
      </c>
      <c r="D67" s="35" t="s">
        <v>203</v>
      </c>
      <c r="E67" s="63">
        <f t="shared" si="0"/>
        <v>15</v>
      </c>
    </row>
    <row r="68" spans="2:5" ht="14.45" x14ac:dyDescent="0.3">
      <c r="B68" t="s">
        <v>204</v>
      </c>
      <c r="C68">
        <v>26107412</v>
      </c>
      <c r="D68" s="35" t="s">
        <v>205</v>
      </c>
      <c r="E68" s="63">
        <f t="shared" ref="E68:E115" si="1">LEN(D68)</f>
        <v>15</v>
      </c>
    </row>
    <row r="69" spans="2:5" ht="14.45" x14ac:dyDescent="0.3">
      <c r="B69" t="s">
        <v>207</v>
      </c>
      <c r="C69" s="35" t="s">
        <v>210</v>
      </c>
      <c r="D69" s="35" t="s">
        <v>209</v>
      </c>
      <c r="E69" s="63">
        <f t="shared" si="1"/>
        <v>15</v>
      </c>
    </row>
    <row r="70" spans="2:5" ht="14.45" x14ac:dyDescent="0.3">
      <c r="B70" t="s">
        <v>206</v>
      </c>
      <c r="C70">
        <v>18733918</v>
      </c>
      <c r="D70" s="35" t="s">
        <v>211</v>
      </c>
      <c r="E70" s="63">
        <f t="shared" si="1"/>
        <v>15</v>
      </c>
    </row>
    <row r="71" spans="2:5" ht="14.45" x14ac:dyDescent="0.3">
      <c r="B71" t="s">
        <v>208</v>
      </c>
      <c r="C71">
        <v>18748374</v>
      </c>
      <c r="D71" s="35" t="s">
        <v>212</v>
      </c>
      <c r="E71" s="63">
        <f t="shared" si="1"/>
        <v>15</v>
      </c>
    </row>
    <row r="72" spans="2:5" ht="14.45" x14ac:dyDescent="0.3">
      <c r="B72" t="s">
        <v>217</v>
      </c>
      <c r="C72">
        <v>1031006</v>
      </c>
      <c r="D72" s="35" t="s">
        <v>209</v>
      </c>
      <c r="E72" s="63">
        <f t="shared" si="1"/>
        <v>15</v>
      </c>
    </row>
    <row r="73" spans="2:5" ht="14.45" x14ac:dyDescent="0.3">
      <c r="B73" s="67" t="s">
        <v>216</v>
      </c>
      <c r="C73" s="67">
        <v>1101502</v>
      </c>
      <c r="D73" s="68" t="s">
        <v>221</v>
      </c>
      <c r="E73" s="63">
        <f t="shared" si="1"/>
        <v>15</v>
      </c>
    </row>
    <row r="74" spans="2:5" ht="14.45" x14ac:dyDescent="0.3">
      <c r="B74" t="s">
        <v>215</v>
      </c>
      <c r="C74">
        <v>1048280</v>
      </c>
      <c r="D74" s="35" t="s">
        <v>218</v>
      </c>
      <c r="E74" s="63">
        <f t="shared" si="1"/>
        <v>15</v>
      </c>
    </row>
    <row r="75" spans="2:5" ht="14.45" x14ac:dyDescent="0.3">
      <c r="B75" t="s">
        <v>214</v>
      </c>
      <c r="C75">
        <v>40175366</v>
      </c>
      <c r="D75" s="35" t="s">
        <v>219</v>
      </c>
      <c r="E75" s="63">
        <f t="shared" si="1"/>
        <v>15</v>
      </c>
    </row>
    <row r="76" spans="2:5" ht="14.45" x14ac:dyDescent="0.3">
      <c r="B76" t="s">
        <v>220</v>
      </c>
      <c r="C76">
        <v>1022381</v>
      </c>
      <c r="D76" s="35" t="s">
        <v>222</v>
      </c>
      <c r="E76" s="63">
        <f t="shared" si="1"/>
        <v>15</v>
      </c>
    </row>
    <row r="77" spans="2:5" ht="14.45" x14ac:dyDescent="0.3">
      <c r="B77" t="s">
        <v>213</v>
      </c>
      <c r="C77">
        <v>2202961</v>
      </c>
      <c r="D77" s="35" t="s">
        <v>223</v>
      </c>
      <c r="E77" s="63">
        <f t="shared" si="1"/>
        <v>15</v>
      </c>
    </row>
    <row r="78" spans="2:5" ht="14.45" x14ac:dyDescent="0.3">
      <c r="B78" t="s">
        <v>224</v>
      </c>
      <c r="C78">
        <v>1032862</v>
      </c>
      <c r="D78" s="35" t="s">
        <v>227</v>
      </c>
      <c r="E78" s="63">
        <f t="shared" si="1"/>
        <v>15</v>
      </c>
    </row>
    <row r="79" spans="2:5" ht="14.45" x14ac:dyDescent="0.3">
      <c r="B79" t="s">
        <v>228</v>
      </c>
      <c r="C79">
        <v>1050706</v>
      </c>
      <c r="D79" s="35" t="s">
        <v>229</v>
      </c>
      <c r="E79" s="63">
        <f t="shared" si="1"/>
        <v>15</v>
      </c>
    </row>
    <row r="80" spans="2:5" ht="14.45" x14ac:dyDescent="0.3">
      <c r="B80" t="s">
        <v>226</v>
      </c>
      <c r="C80">
        <v>1437841</v>
      </c>
      <c r="D80" s="35" t="s">
        <v>230</v>
      </c>
      <c r="E80" s="63">
        <f t="shared" si="1"/>
        <v>15</v>
      </c>
    </row>
    <row r="81" spans="2:5" ht="14.45" x14ac:dyDescent="0.3">
      <c r="B81" t="s">
        <v>231</v>
      </c>
      <c r="C81">
        <v>24970923</v>
      </c>
      <c r="D81" s="35" t="s">
        <v>232</v>
      </c>
      <c r="E81" s="63">
        <f t="shared" si="1"/>
        <v>15</v>
      </c>
    </row>
    <row r="82" spans="2:5" ht="14.45" x14ac:dyDescent="0.3">
      <c r="B82" t="s">
        <v>225</v>
      </c>
      <c r="C82">
        <v>15191875</v>
      </c>
      <c r="D82" s="35" t="s">
        <v>233</v>
      </c>
      <c r="E82" s="63">
        <f t="shared" si="1"/>
        <v>15</v>
      </c>
    </row>
    <row r="83" spans="2:5" ht="14.45" x14ac:dyDescent="0.3">
      <c r="B83" t="s">
        <v>234</v>
      </c>
      <c r="C83">
        <v>18780200</v>
      </c>
      <c r="D83" s="35" t="s">
        <v>235</v>
      </c>
      <c r="E83" s="63">
        <f t="shared" si="1"/>
        <v>15</v>
      </c>
    </row>
    <row r="84" spans="2:5" ht="14.45" x14ac:dyDescent="0.3">
      <c r="B84" t="s">
        <v>237</v>
      </c>
      <c r="C84">
        <v>15266730</v>
      </c>
      <c r="D84" s="35" t="s">
        <v>238</v>
      </c>
      <c r="E84" s="63">
        <f t="shared" si="1"/>
        <v>15</v>
      </c>
    </row>
    <row r="85" spans="2:5" ht="14.45" x14ac:dyDescent="0.3">
      <c r="B85" t="s">
        <v>239</v>
      </c>
      <c r="C85">
        <v>40438827</v>
      </c>
      <c r="D85" s="35" t="s">
        <v>240</v>
      </c>
      <c r="E85" s="63">
        <f t="shared" si="1"/>
        <v>15</v>
      </c>
    </row>
    <row r="86" spans="2:5" ht="14.45" x14ac:dyDescent="0.3">
      <c r="B86" t="s">
        <v>241</v>
      </c>
      <c r="C86">
        <v>40427387</v>
      </c>
      <c r="D86" s="35" t="s">
        <v>242</v>
      </c>
      <c r="E86" s="63">
        <f t="shared" si="1"/>
        <v>15</v>
      </c>
    </row>
    <row r="87" spans="2:5" ht="14.45" x14ac:dyDescent="0.3">
      <c r="B87" t="s">
        <v>236</v>
      </c>
      <c r="C87">
        <v>1068289</v>
      </c>
      <c r="D87" s="35" t="s">
        <v>243</v>
      </c>
      <c r="E87" s="63">
        <f t="shared" si="1"/>
        <v>15</v>
      </c>
    </row>
    <row r="88" spans="2:5" ht="14.45" x14ac:dyDescent="0.3">
      <c r="B88" s="55" t="s">
        <v>245</v>
      </c>
      <c r="C88">
        <v>18780211</v>
      </c>
      <c r="D88" s="35" t="s">
        <v>248</v>
      </c>
      <c r="E88" s="63">
        <f t="shared" si="1"/>
        <v>15</v>
      </c>
    </row>
    <row r="89" spans="2:5" ht="14.45" x14ac:dyDescent="0.3">
      <c r="B89" s="54" t="s">
        <v>249</v>
      </c>
      <c r="C89">
        <v>3316969</v>
      </c>
      <c r="D89" s="35" t="s">
        <v>250</v>
      </c>
      <c r="E89" s="63">
        <f t="shared" si="1"/>
        <v>15</v>
      </c>
    </row>
    <row r="90" spans="2:5" ht="14.45" x14ac:dyDescent="0.3">
      <c r="B90" s="54" t="s">
        <v>251</v>
      </c>
      <c r="C90">
        <v>40724012</v>
      </c>
      <c r="D90" s="35" t="s">
        <v>252</v>
      </c>
      <c r="E90" s="63">
        <f t="shared" si="1"/>
        <v>15</v>
      </c>
    </row>
    <row r="91" spans="2:5" ht="14.45" x14ac:dyDescent="0.3">
      <c r="B91" s="55" t="s">
        <v>244</v>
      </c>
      <c r="C91">
        <v>20736638</v>
      </c>
      <c r="D91" s="35" t="s">
        <v>253</v>
      </c>
      <c r="E91" s="63">
        <f t="shared" si="1"/>
        <v>15</v>
      </c>
    </row>
    <row r="92" spans="2:5" ht="14.45" x14ac:dyDescent="0.3">
      <c r="B92" s="55" t="s">
        <v>247</v>
      </c>
      <c r="C92">
        <v>1068289</v>
      </c>
      <c r="D92" s="35" t="s">
        <v>243</v>
      </c>
      <c r="E92" s="63">
        <f t="shared" si="1"/>
        <v>15</v>
      </c>
    </row>
    <row r="93" spans="2:5" ht="14.45" x14ac:dyDescent="0.3">
      <c r="B93" s="55" t="s">
        <v>246</v>
      </c>
      <c r="C93">
        <v>18757419</v>
      </c>
      <c r="D93" s="35" t="s">
        <v>254</v>
      </c>
      <c r="E93" s="63">
        <f t="shared" si="1"/>
        <v>15</v>
      </c>
    </row>
    <row r="94" spans="2:5" ht="14.45" x14ac:dyDescent="0.3">
      <c r="B94" t="s">
        <v>257</v>
      </c>
      <c r="C94">
        <v>24815437</v>
      </c>
      <c r="D94" s="35" t="s">
        <v>258</v>
      </c>
      <c r="E94" s="63">
        <f t="shared" si="1"/>
        <v>15</v>
      </c>
    </row>
    <row r="95" spans="2:5" ht="14.45" x14ac:dyDescent="0.3">
      <c r="B95" t="s">
        <v>259</v>
      </c>
      <c r="C95">
        <v>14373841</v>
      </c>
      <c r="D95" s="35" t="s">
        <v>230</v>
      </c>
      <c r="E95" s="63">
        <f t="shared" si="1"/>
        <v>15</v>
      </c>
    </row>
    <row r="96" spans="2:5" ht="14.45" x14ac:dyDescent="0.3">
      <c r="B96" t="s">
        <v>261</v>
      </c>
      <c r="C96">
        <v>2501198</v>
      </c>
      <c r="D96" s="35" t="s">
        <v>262</v>
      </c>
      <c r="E96" s="63">
        <f t="shared" si="1"/>
        <v>15</v>
      </c>
    </row>
    <row r="97" spans="2:5" ht="14.45" x14ac:dyDescent="0.3">
      <c r="B97" s="67" t="s">
        <v>265</v>
      </c>
      <c r="C97" s="68" t="s">
        <v>268</v>
      </c>
      <c r="D97" s="68" t="s">
        <v>269</v>
      </c>
      <c r="E97" s="63">
        <f t="shared" si="1"/>
        <v>15</v>
      </c>
    </row>
    <row r="98" spans="2:5" ht="14.45" x14ac:dyDescent="0.3">
      <c r="B98" t="s">
        <v>264</v>
      </c>
      <c r="C98" s="35" t="s">
        <v>266</v>
      </c>
      <c r="D98" s="35" t="s">
        <v>267</v>
      </c>
      <c r="E98" s="63">
        <f t="shared" si="1"/>
        <v>15</v>
      </c>
    </row>
    <row r="99" spans="2:5" ht="14.45" x14ac:dyDescent="0.3">
      <c r="B99" s="67" t="s">
        <v>270</v>
      </c>
      <c r="C99" s="68" t="s">
        <v>272</v>
      </c>
      <c r="D99" s="68" t="s">
        <v>273</v>
      </c>
      <c r="E99" s="63">
        <f t="shared" si="1"/>
        <v>15</v>
      </c>
    </row>
    <row r="100" spans="2:5" ht="14.45" x14ac:dyDescent="0.3">
      <c r="B100" t="s">
        <v>271</v>
      </c>
      <c r="C100" s="35" t="s">
        <v>274</v>
      </c>
      <c r="D100" s="35" t="s">
        <v>275</v>
      </c>
      <c r="E100" s="63">
        <f t="shared" si="1"/>
        <v>14</v>
      </c>
    </row>
    <row r="101" spans="2:5" ht="14.45" x14ac:dyDescent="0.3">
      <c r="B101" t="s">
        <v>276</v>
      </c>
      <c r="C101" s="35" t="s">
        <v>289</v>
      </c>
      <c r="D101" s="35" t="s">
        <v>277</v>
      </c>
      <c r="E101" s="63">
        <f t="shared" si="1"/>
        <v>15</v>
      </c>
    </row>
    <row r="102" spans="2:5" ht="14.45" x14ac:dyDescent="0.3">
      <c r="B102" s="82" t="s">
        <v>278</v>
      </c>
      <c r="C102" s="82">
        <v>15299412</v>
      </c>
      <c r="D102" s="83" t="s">
        <v>279</v>
      </c>
      <c r="E102" s="63">
        <f t="shared" si="1"/>
        <v>15</v>
      </c>
    </row>
    <row r="103" spans="2:5" ht="14.45" x14ac:dyDescent="0.3">
      <c r="B103" s="82" t="s">
        <v>280</v>
      </c>
      <c r="C103" s="82">
        <v>1085086</v>
      </c>
      <c r="D103" s="83" t="s">
        <v>286</v>
      </c>
      <c r="E103" s="63">
        <f t="shared" si="1"/>
        <v>15</v>
      </c>
    </row>
    <row r="104" spans="2:5" ht="14.45" x14ac:dyDescent="0.3">
      <c r="B104" t="s">
        <v>281</v>
      </c>
      <c r="C104">
        <v>14395134</v>
      </c>
      <c r="D104" s="35" t="s">
        <v>282</v>
      </c>
      <c r="E104" s="70">
        <f t="shared" si="1"/>
        <v>15</v>
      </c>
    </row>
    <row r="105" spans="2:5" ht="14.45" x14ac:dyDescent="0.3">
      <c r="B105" t="s">
        <v>283</v>
      </c>
      <c r="C105">
        <v>18735424</v>
      </c>
      <c r="D105" s="35" t="s">
        <v>284</v>
      </c>
      <c r="E105">
        <f t="shared" si="1"/>
        <v>15</v>
      </c>
    </row>
    <row r="106" spans="2:5" ht="14.45" x14ac:dyDescent="0.3">
      <c r="B106" s="82" t="s">
        <v>285</v>
      </c>
      <c r="C106" s="82">
        <v>3379427</v>
      </c>
      <c r="D106" s="83" t="s">
        <v>287</v>
      </c>
      <c r="E106">
        <f t="shared" si="1"/>
        <v>15</v>
      </c>
    </row>
    <row r="107" spans="2:5" ht="14.45" x14ac:dyDescent="0.3">
      <c r="B107" t="s">
        <v>291</v>
      </c>
      <c r="C107">
        <v>15160259</v>
      </c>
      <c r="D107" s="35" t="s">
        <v>292</v>
      </c>
      <c r="E107" s="99">
        <f t="shared" si="1"/>
        <v>15</v>
      </c>
    </row>
    <row r="108" spans="2:5" ht="14.45" x14ac:dyDescent="0.3">
      <c r="B108" s="77" t="s">
        <v>298</v>
      </c>
      <c r="C108">
        <v>24844688</v>
      </c>
      <c r="D108" s="35" t="s">
        <v>312</v>
      </c>
      <c r="E108" s="99">
        <f t="shared" si="1"/>
        <v>15</v>
      </c>
    </row>
    <row r="109" spans="2:5" ht="14.45" x14ac:dyDescent="0.3">
      <c r="B109" s="96" t="s">
        <v>299</v>
      </c>
      <c r="C109">
        <v>40390650</v>
      </c>
      <c r="D109" s="35" t="s">
        <v>315</v>
      </c>
      <c r="E109" s="99">
        <f t="shared" si="1"/>
        <v>15</v>
      </c>
    </row>
    <row r="110" spans="2:5" ht="14.45" x14ac:dyDescent="0.3">
      <c r="B110" s="77" t="s">
        <v>300</v>
      </c>
      <c r="C110">
        <v>18738256</v>
      </c>
      <c r="D110" s="35" t="s">
        <v>182</v>
      </c>
      <c r="E110" s="99">
        <f t="shared" si="1"/>
        <v>15</v>
      </c>
    </row>
    <row r="111" spans="2:5" ht="14.45" x14ac:dyDescent="0.3">
      <c r="B111" s="77" t="s">
        <v>310</v>
      </c>
      <c r="C111">
        <v>40135035</v>
      </c>
      <c r="D111" s="35" t="s">
        <v>311</v>
      </c>
      <c r="E111" s="99">
        <f t="shared" si="1"/>
        <v>15</v>
      </c>
    </row>
    <row r="112" spans="2:5" ht="14.45" x14ac:dyDescent="0.3">
      <c r="B112" t="s">
        <v>319</v>
      </c>
      <c r="C112">
        <v>1006474</v>
      </c>
      <c r="D112" s="35" t="s">
        <v>320</v>
      </c>
      <c r="E112" s="99">
        <f t="shared" si="1"/>
        <v>15</v>
      </c>
    </row>
    <row r="113" spans="2:5" ht="14.45" x14ac:dyDescent="0.3">
      <c r="B113" t="s">
        <v>325</v>
      </c>
      <c r="C113">
        <v>15182141</v>
      </c>
      <c r="D113" s="35" t="s">
        <v>326</v>
      </c>
      <c r="E113" s="99">
        <f t="shared" si="1"/>
        <v>15</v>
      </c>
    </row>
    <row r="114" spans="2:5" ht="14.45" x14ac:dyDescent="0.3">
      <c r="E114" s="99">
        <f t="shared" si="1"/>
        <v>0</v>
      </c>
    </row>
    <row r="115" spans="2:5" ht="14.45" x14ac:dyDescent="0.3">
      <c r="E115" s="99">
        <f t="shared" si="1"/>
        <v>0</v>
      </c>
    </row>
  </sheetData>
  <sortState ref="B3:B19">
    <sortCondition ref="B3:B19"/>
  </sortState>
  <mergeCells count="1">
    <mergeCell ref="J5:J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M3:M5"/>
  <sheetViews>
    <sheetView workbookViewId="0">
      <selection activeCell="C5" sqref="C5"/>
    </sheetView>
  </sheetViews>
  <sheetFormatPr baseColWidth="10" defaultColWidth="11.42578125" defaultRowHeight="15" x14ac:dyDescent="0.25"/>
  <cols>
    <col min="1" max="2" width="11.42578125" style="30"/>
    <col min="3" max="3" width="14.42578125" style="30" bestFit="1" customWidth="1"/>
    <col min="4" max="4" width="14.28515625" style="30" bestFit="1" customWidth="1"/>
    <col min="5" max="5" width="12.85546875" style="30" bestFit="1" customWidth="1"/>
    <col min="6" max="6" width="1.5703125" style="30" customWidth="1"/>
    <col min="7" max="7" width="13.7109375" style="30" bestFit="1" customWidth="1"/>
    <col min="8" max="8" width="14.28515625" style="30" bestFit="1" customWidth="1"/>
    <col min="9" max="9" width="12.85546875" style="30" bestFit="1" customWidth="1"/>
    <col min="10" max="10" width="2" style="30" customWidth="1"/>
    <col min="11" max="11" width="29.42578125" style="30" bestFit="1" customWidth="1"/>
    <col min="12" max="12" width="11.42578125" style="30"/>
    <col min="13" max="13" width="12.85546875" style="30" bestFit="1" customWidth="1"/>
    <col min="14" max="16384" width="11.42578125" style="30"/>
  </cols>
  <sheetData>
    <row r="3" spans="13:13" x14ac:dyDescent="0.3">
      <c r="M3" s="32"/>
    </row>
    <row r="4" spans="13:13" x14ac:dyDescent="0.3">
      <c r="M4" s="32"/>
    </row>
    <row r="5" spans="13:13" x14ac:dyDescent="0.3">
      <c r="M5" s="3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</vt:i4>
      </vt:variant>
    </vt:vector>
  </HeadingPairs>
  <TitlesOfParts>
    <vt:vector size="11" baseType="lpstr">
      <vt:lpstr>EDI</vt:lpstr>
      <vt:lpstr>SYNTHESE</vt:lpstr>
      <vt:lpstr>ENC</vt:lpstr>
      <vt:lpstr>DECLARATION</vt:lpstr>
      <vt:lpstr>A DEDUIRE</vt:lpstr>
      <vt:lpstr>BASE IF-ICE</vt:lpstr>
      <vt:lpstr>CA REPORTE</vt:lpstr>
      <vt:lpstr>CODE</vt:lpstr>
      <vt:lpstr>FRS</vt:lpstr>
      <vt:lpstr>DECLARATION!Zone_d_impression</vt:lpstr>
      <vt:lpstr>EDI!Zone_d_impression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2020-12-24T11:42:51Z</dcterms:modified>
</cp:coreProperties>
</file>